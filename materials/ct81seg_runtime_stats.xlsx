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191EAD83-B51E-46EC-B676-765A978456A4}" xr6:coauthVersionLast="47" xr6:coauthVersionMax="47" xr10:uidLastSave="{00000000-0000-0000-0000-000000000000}"/>
  <bookViews>
    <workbookView xWindow="-120" yWindow="-120" windowWidth="29040" windowHeight="1572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17" i="1"/>
  <c r="D17" i="1"/>
  <c r="D10" i="1"/>
  <c r="F17" i="1"/>
  <c r="F10" i="1"/>
</calcChain>
</file>

<file path=xl/sharedStrings.xml><?xml version="1.0" encoding="utf-8"?>
<sst xmlns="http://schemas.openxmlformats.org/spreadsheetml/2006/main" count="147" uniqueCount="74">
  <si>
    <t>OS</t>
    <phoneticPr fontId="2"/>
  </si>
  <si>
    <t>GPU model</t>
    <phoneticPr fontId="2"/>
  </si>
  <si>
    <t>Person in charge</t>
    <phoneticPr fontId="2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</si>
  <si>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</si>
  <si>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</si>
  <si>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</si>
  <si>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</si>
  <si>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</si>
  <si>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</si>
  <si>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</si>
  <si>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</si>
  <si>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</si>
  <si>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</si>
  <si>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</si>
  <si>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</si>
  <si>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</si>
  <si>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</si>
  <si>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</si>
  <si>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</si>
  <si>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</si>
  <si>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</si>
  <si>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</si>
  <si>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</si>
  <si>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</si>
  <si>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</si>
  <si>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</si>
  <si>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</si>
  <si>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</si>
  <si>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</si>
  <si>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</si>
  <si>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</si>
  <si>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</si>
  <si>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</si>
  <si>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</si>
  <si>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NVMe SSD</t>
  </si>
  <si>
    <t>Singularity</t>
  </si>
  <si>
    <t>GeForce RTX 1080ti</t>
  </si>
  <si>
    <t>Intel Xeon CPU E5-1650 v4</t>
  </si>
  <si>
    <t>Machine 1 (orca)</t>
  </si>
  <si>
    <t>Machine 2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</si>
  <si>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</si>
  <si>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</si>
  <si>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</si>
  <si>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</si>
  <si>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</si>
  <si>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</si>
  <si>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</si>
  <si>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</si>
  <si>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</si>
  <si>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</si>
  <si>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</si>
  <si>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</si>
  <si>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</si>
  <si>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</si>
  <si>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</si>
  <si>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</si>
  <si>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</si>
  <si>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</si>
  <si>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</si>
  <si>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</si>
  <si>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</si>
  <si>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</si>
  <si>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</si>
  <si>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</si>
  <si>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</si>
  <si>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OOM</t>
  </si>
  <si>
    <t>/</t>
  </si>
  <si>
    <t>2017/2</t>
  </si>
  <si>
    <t>Machine 3 (devonrex)</t>
  </si>
  <si>
    <t>Machine 4 (toyger)</t>
  </si>
  <si>
    <t>Intel Xeon w5-2455X</t>
  </si>
  <si>
    <t>NVIDIA RTX A4500 Ada</t>
  </si>
  <si>
    <t>2023/9</t>
  </si>
  <si>
    <t>Machine 5 (toyger)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</si>
</sst>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5" fillId="3" borderId="0" xfId="2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3" borderId="0" xfId="2" applyAlignment="1">
      <alignment horizontal="center" vertical="center" wrapText="1"/>
    </xf>
    <xf numFmtId="0" fontId="4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6" fillId="4" borderId="0" xfId="3" applyAlignment="1">
      <alignment horizontal="center" vertical="center"/>
    </xf>
    <xf numFmtId="0" fontId="4" fillId="2" borderId="4" xfId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>
      <alignment vertic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0" fillId="0" borderId="4" xfId="0" applyNumberFormat="1" applyBorder="1">
      <alignment vertical="center"/>
    </xf>
    <xf numFmtId="2" fontId="0" fillId="0" borderId="0" xfId="0" applyNumberFormat="1">
      <alignment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H48"/>
  <sheetViews>
    <sheetView tabSelected="1" zoomScaleNormal="100" workbookViewId="0">
      <pane xSplit="3" ySplit="2" topLeftCell="D19" activePane="bottomRight" state="frozen"/>
      <selection pane="topRight" activeCell="B1" sqref="B1"/>
      <selection pane="bottomLeft" activeCell="A3" sqref="A3"/>
      <selection pane="bottomRight" activeCell="I36" sqref="I36"/>
    </sheetView>
  </sheetViews>
  <sheetFormatPr defaultColWidth="8.875" defaultRowHeight="15" x14ac:dyDescent="0.15"/>
  <cols>
    <col min="1" max="1" width="13.125" style="23" customWidth="1"/>
    <col min="2" max="2" width="8.375" style="23" customWidth="1"/>
    <col min="3" max="3" width="24.25" style="23" customWidth="1"/>
    <col min="4" max="4" width="24" customWidth="1"/>
    <col min="5" max="5" width="14.75" customWidth="1"/>
    <col min="6" max="6" width="18.75" customWidth="1"/>
    <col min="7" max="9" width="21" customWidth="1"/>
  </cols>
  <sheetData>
    <row r="1" spans="1:8" s="23" customFormat="1" x14ac:dyDescent="0.15">
      <c r="A1" s="21"/>
      <c r="B1" s="21"/>
      <c r="C1" s="21"/>
      <c r="D1" s="22" t="s">
        <v>38</v>
      </c>
      <c r="E1" s="22" t="s">
        <v>39</v>
      </c>
      <c r="F1" s="22" t="s">
        <v>68</v>
      </c>
      <c r="G1" s="22" t="s">
        <v>69</v>
      </c>
      <c r="H1" s="22" t="s">
        <v>73</v>
      </c>
    </row>
    <row r="2" spans="1:8" s="22" customFormat="1" ht="15.75" thickBot="1" x14ac:dyDescent="0.2">
      <c r="A2" s="24" t="s">
        <v>2</v>
      </c>
      <c r="B2" s="24"/>
      <c r="C2" s="24"/>
      <c r="D2" s="22" t="s">
        <v>3</v>
      </c>
      <c r="E2" s="22" t="s">
        <v>3</v>
      </c>
      <c r="F2" s="22" t="s">
        <v>3</v>
      </c>
      <c r="G2" s="22" t="s">
        <v>3</v>
      </c>
      <c r="H2" s="22" t="s">
        <v>3</v>
      </c>
    </row>
    <row r="3" spans="1:8" s="5" customFormat="1" ht="15.75" thickBot="1" x14ac:dyDescent="0.2">
      <c r="A3" s="25" t="s">
        <v>8</v>
      </c>
      <c r="B3" s="25"/>
      <c r="C3" s="25"/>
      <c r="D3" s="9"/>
      <c r="E3" s="9"/>
      <c r="F3" s="4"/>
    </row>
    <row r="4" spans="1:8" s="1" customFormat="1" ht="15.75" customHeight="1" thickTop="1" x14ac:dyDescent="0.15">
      <c r="A4" s="26" t="s">
        <v>23</v>
      </c>
      <c r="B4" s="26"/>
      <c r="C4" s="27" t="s">
        <v>7</v>
      </c>
      <c r="D4" s="19" t="s">
        <v>24</v>
      </c>
      <c r="E4" s="1" t="s">
        <v>63</v>
      </c>
      <c r="F4" s="19" t="s">
        <v>24</v>
      </c>
      <c r="G4" s="19" t="s">
        <v>24</v>
      </c>
      <c r="H4" s="1" t="s">
        <v>63</v>
      </c>
    </row>
    <row r="5" spans="1:8" s="1" customFormat="1" x14ac:dyDescent="0.15">
      <c r="A5" s="28"/>
      <c r="B5" s="28"/>
      <c r="C5" s="23" t="s">
        <v>0</v>
      </c>
      <c r="D5" s="16" t="s">
        <v>26</v>
      </c>
      <c r="E5" s="1" t="s">
        <v>63</v>
      </c>
      <c r="F5" s="15" t="s">
        <v>25</v>
      </c>
      <c r="G5" s="16" t="s">
        <v>26</v>
      </c>
      <c r="H5" s="1" t="s">
        <v>63</v>
      </c>
    </row>
    <row r="6" spans="1:8" s="1" customFormat="1" x14ac:dyDescent="0.15">
      <c r="A6" s="28"/>
      <c r="B6" s="28"/>
      <c r="C6" s="23" t="s">
        <v>27</v>
      </c>
      <c r="D6" s="16" t="s">
        <v>35</v>
      </c>
      <c r="E6" s="1" t="s">
        <v>63</v>
      </c>
      <c r="F6" s="13" t="s">
        <v>28</v>
      </c>
      <c r="G6" s="16" t="s">
        <v>35</v>
      </c>
      <c r="H6" s="1" t="s">
        <v>63</v>
      </c>
    </row>
    <row r="7" spans="1:8" s="12" customFormat="1" x14ac:dyDescent="0.15">
      <c r="A7" s="29"/>
      <c r="B7" s="29"/>
      <c r="C7" s="30" t="s">
        <v>40</v>
      </c>
      <c r="D7" s="20" t="s">
        <v>26</v>
      </c>
      <c r="E7" s="12" t="s">
        <v>63</v>
      </c>
      <c r="F7" s="20" t="s">
        <v>26</v>
      </c>
      <c r="G7" s="20" t="s">
        <v>26</v>
      </c>
      <c r="H7" s="12" t="s">
        <v>63</v>
      </c>
    </row>
    <row r="8" spans="1:8" s="1" customFormat="1" x14ac:dyDescent="0.15">
      <c r="A8" s="31" t="s">
        <v>9</v>
      </c>
      <c r="B8" s="31"/>
      <c r="C8" s="32" t="s">
        <v>5</v>
      </c>
      <c r="D8" s="14" t="s">
        <v>37</v>
      </c>
      <c r="E8" s="1" t="s">
        <v>63</v>
      </c>
      <c r="F8" s="2" t="s">
        <v>29</v>
      </c>
      <c r="G8" s="1" t="s">
        <v>70</v>
      </c>
      <c r="H8" s="1" t="s">
        <v>63</v>
      </c>
    </row>
    <row r="9" spans="1:8" s="1" customFormat="1" x14ac:dyDescent="0.15">
      <c r="A9" s="21"/>
      <c r="B9" s="21"/>
      <c r="C9" s="23" t="s">
        <v>41</v>
      </c>
      <c r="D9" s="7">
        <v>621</v>
      </c>
      <c r="E9" s="1" t="s">
        <v>63</v>
      </c>
      <c r="F9" s="7">
        <v>1399</v>
      </c>
      <c r="G9" s="7">
        <v>1039</v>
      </c>
      <c r="H9" s="1" t="s">
        <v>63</v>
      </c>
    </row>
    <row r="10" spans="1:8" s="1" customFormat="1" x14ac:dyDescent="0.15">
      <c r="A10" s="21"/>
      <c r="B10" s="21"/>
      <c r="C10" s="23" t="s">
        <v>42</v>
      </c>
      <c r="D10" s="8">
        <f>D9*155.9</f>
        <v>96813.900000000009</v>
      </c>
      <c r="E10" s="1" t="s">
        <v>63</v>
      </c>
      <c r="F10" s="8">
        <f>F9*155.9</f>
        <v>218104.1</v>
      </c>
      <c r="G10" s="8">
        <f>G9*155.9</f>
        <v>161980.1</v>
      </c>
      <c r="H10" s="1" t="s">
        <v>63</v>
      </c>
    </row>
    <row r="11" spans="1:8" s="1" customFormat="1" x14ac:dyDescent="0.15">
      <c r="A11" s="21"/>
      <c r="B11" s="21"/>
      <c r="C11" s="23" t="s">
        <v>43</v>
      </c>
      <c r="D11" s="1" t="s">
        <v>64</v>
      </c>
      <c r="E11" s="1" t="s">
        <v>63</v>
      </c>
      <c r="F11" s="3" t="s">
        <v>30</v>
      </c>
      <c r="G11" s="1" t="s">
        <v>30</v>
      </c>
      <c r="H11" s="1" t="s">
        <v>63</v>
      </c>
    </row>
    <row r="12" spans="1:8" s="1" customFormat="1" x14ac:dyDescent="0.15">
      <c r="A12" s="21"/>
      <c r="B12" s="21"/>
      <c r="C12" s="23" t="s">
        <v>44</v>
      </c>
      <c r="D12" s="1">
        <v>6</v>
      </c>
      <c r="E12" s="1" t="s">
        <v>63</v>
      </c>
      <c r="F12" s="2">
        <v>16</v>
      </c>
      <c r="G12" s="1">
        <v>24</v>
      </c>
      <c r="H12" s="1" t="s">
        <v>63</v>
      </c>
    </row>
    <row r="13" spans="1:8" s="1" customFormat="1" x14ac:dyDescent="0.15">
      <c r="A13" s="21"/>
      <c r="B13" s="21"/>
      <c r="C13" s="23" t="s">
        <v>45</v>
      </c>
      <c r="D13" s="1">
        <v>3.6</v>
      </c>
      <c r="E13" s="1" t="s">
        <v>63</v>
      </c>
      <c r="F13" s="2">
        <v>3.1</v>
      </c>
      <c r="G13" s="1">
        <v>3.2</v>
      </c>
      <c r="H13" s="1" t="s">
        <v>63</v>
      </c>
    </row>
    <row r="14" spans="1:8" s="12" customFormat="1" x14ac:dyDescent="0.15">
      <c r="A14" s="33"/>
      <c r="B14" s="33"/>
      <c r="C14" s="30" t="s">
        <v>46</v>
      </c>
      <c r="D14" s="12">
        <v>4</v>
      </c>
      <c r="E14" s="12" t="s">
        <v>63</v>
      </c>
      <c r="F14" s="10">
        <v>4.7</v>
      </c>
      <c r="G14" s="12">
        <v>4.5999999999999996</v>
      </c>
      <c r="H14" s="12" t="s">
        <v>63</v>
      </c>
    </row>
    <row r="15" spans="1:8" s="1" customFormat="1" x14ac:dyDescent="0.15">
      <c r="A15" s="31" t="s">
        <v>10</v>
      </c>
      <c r="B15" s="31"/>
      <c r="C15" s="32" t="s">
        <v>1</v>
      </c>
      <c r="D15" s="14" t="s">
        <v>36</v>
      </c>
      <c r="E15" s="1" t="s">
        <v>63</v>
      </c>
      <c r="F15" s="2" t="s">
        <v>31</v>
      </c>
      <c r="G15" s="1" t="s">
        <v>71</v>
      </c>
      <c r="H15" s="1" t="s">
        <v>63</v>
      </c>
    </row>
    <row r="16" spans="1:8" s="1" customFormat="1" x14ac:dyDescent="0.15">
      <c r="A16" s="21"/>
      <c r="B16" s="21"/>
      <c r="C16" s="23" t="s">
        <v>47</v>
      </c>
      <c r="D16" s="7">
        <v>699</v>
      </c>
      <c r="E16" s="1" t="s">
        <v>63</v>
      </c>
      <c r="F16" s="7">
        <v>999</v>
      </c>
      <c r="G16" s="7">
        <v>2250</v>
      </c>
      <c r="H16" s="1" t="s">
        <v>63</v>
      </c>
    </row>
    <row r="17" spans="1:8" s="1" customFormat="1" x14ac:dyDescent="0.15">
      <c r="A17" s="21"/>
      <c r="B17" s="21"/>
      <c r="C17" s="23" t="s">
        <v>48</v>
      </c>
      <c r="D17" s="8">
        <f>D16*155.9</f>
        <v>108974.1</v>
      </c>
      <c r="E17" s="1" t="s">
        <v>63</v>
      </c>
      <c r="F17" s="8">
        <f>F16*155.9</f>
        <v>155744.1</v>
      </c>
      <c r="G17" s="8">
        <f>G16*155.9</f>
        <v>350775</v>
      </c>
      <c r="H17" s="1" t="s">
        <v>63</v>
      </c>
    </row>
    <row r="18" spans="1:8" s="1" customFormat="1" x14ac:dyDescent="0.15">
      <c r="A18" s="21"/>
      <c r="B18" s="21"/>
      <c r="C18" s="23" t="s">
        <v>49</v>
      </c>
      <c r="D18" s="1" t="s">
        <v>67</v>
      </c>
      <c r="E18" s="1" t="s">
        <v>63</v>
      </c>
      <c r="F18" s="3" t="s">
        <v>32</v>
      </c>
      <c r="G18" s="1" t="s">
        <v>72</v>
      </c>
      <c r="H18" s="1" t="s">
        <v>63</v>
      </c>
    </row>
    <row r="19" spans="1:8" s="1" customFormat="1" x14ac:dyDescent="0.15">
      <c r="A19" s="21"/>
      <c r="B19" s="21"/>
      <c r="C19" s="23" t="s">
        <v>50</v>
      </c>
      <c r="D19" s="1">
        <v>6.1</v>
      </c>
      <c r="E19" s="1" t="s">
        <v>63</v>
      </c>
      <c r="F19" s="2">
        <v>7.5</v>
      </c>
      <c r="G19" s="1">
        <v>8.9</v>
      </c>
      <c r="H19" s="1" t="s">
        <v>63</v>
      </c>
    </row>
    <row r="20" spans="1:8" s="1" customFormat="1" x14ac:dyDescent="0.15">
      <c r="A20" s="21"/>
      <c r="B20" s="21"/>
      <c r="C20" s="23" t="s">
        <v>51</v>
      </c>
      <c r="D20" s="1">
        <v>11</v>
      </c>
      <c r="E20" s="1" t="s">
        <v>63</v>
      </c>
      <c r="F20" s="2">
        <v>11</v>
      </c>
      <c r="G20" s="1">
        <v>24</v>
      </c>
      <c r="H20" s="1" t="s">
        <v>63</v>
      </c>
    </row>
    <row r="21" spans="1:8" s="12" customFormat="1" x14ac:dyDescent="0.15">
      <c r="A21" s="33"/>
      <c r="B21" s="33"/>
      <c r="C21" s="30" t="s">
        <v>52</v>
      </c>
      <c r="D21" s="12">
        <v>3584</v>
      </c>
      <c r="E21" s="12" t="s">
        <v>63</v>
      </c>
      <c r="F21" s="10">
        <v>4352</v>
      </c>
      <c r="G21" s="12">
        <v>7680</v>
      </c>
      <c r="H21" s="12" t="s">
        <v>63</v>
      </c>
    </row>
    <row r="22" spans="1:8" s="1" customFormat="1" ht="13.5" customHeight="1" x14ac:dyDescent="0.15">
      <c r="A22" s="28" t="s">
        <v>22</v>
      </c>
      <c r="B22" s="28"/>
      <c r="C22" s="23" t="s">
        <v>6</v>
      </c>
      <c r="D22" s="16" t="s">
        <v>34</v>
      </c>
      <c r="E22" s="1" t="s">
        <v>63</v>
      </c>
      <c r="F22" s="15" t="s">
        <v>33</v>
      </c>
      <c r="G22" s="16" t="s">
        <v>34</v>
      </c>
      <c r="H22" s="1" t="s">
        <v>63</v>
      </c>
    </row>
    <row r="23" spans="1:8" s="1" customFormat="1" x14ac:dyDescent="0.15">
      <c r="A23" s="28"/>
      <c r="B23" s="28"/>
      <c r="C23" s="23" t="s">
        <v>53</v>
      </c>
      <c r="D23" s="1">
        <v>1</v>
      </c>
      <c r="E23" s="36">
        <v>2</v>
      </c>
      <c r="F23" s="2">
        <v>1</v>
      </c>
      <c r="G23" s="1">
        <v>1</v>
      </c>
      <c r="H23" s="36">
        <v>2</v>
      </c>
    </row>
    <row r="24" spans="1:8" s="1" customFormat="1" x14ac:dyDescent="0.15">
      <c r="A24" s="28"/>
      <c r="B24" s="28"/>
      <c r="C24" s="23" t="s">
        <v>54</v>
      </c>
      <c r="D24" s="1">
        <v>6</v>
      </c>
      <c r="E24" s="1" t="s">
        <v>63</v>
      </c>
      <c r="F24" s="2">
        <v>8</v>
      </c>
      <c r="G24" s="1">
        <v>8</v>
      </c>
      <c r="H24" s="1" t="s">
        <v>63</v>
      </c>
    </row>
    <row r="25" spans="1:8" s="1" customFormat="1" ht="15.75" thickBot="1" x14ac:dyDescent="0.2">
      <c r="A25" s="34"/>
      <c r="B25" s="34"/>
      <c r="C25" s="23" t="s">
        <v>55</v>
      </c>
      <c r="D25" s="1">
        <v>2</v>
      </c>
      <c r="E25" s="1" t="s">
        <v>63</v>
      </c>
      <c r="F25" s="2">
        <v>2</v>
      </c>
      <c r="G25" s="1">
        <v>2</v>
      </c>
      <c r="H25" s="1" t="s">
        <v>63</v>
      </c>
    </row>
    <row r="26" spans="1:8" s="5" customFormat="1" ht="15.75" thickBot="1" x14ac:dyDescent="0.2">
      <c r="A26" s="25" t="s">
        <v>4</v>
      </c>
      <c r="B26" s="25"/>
      <c r="C26" s="25"/>
      <c r="D26" s="9"/>
      <c r="E26" s="9"/>
      <c r="F26" s="6"/>
    </row>
    <row r="27" spans="1:8" ht="15.75" thickTop="1" x14ac:dyDescent="0.15">
      <c r="A27" s="26" t="s">
        <v>17</v>
      </c>
      <c r="B27" s="35" t="s">
        <v>19</v>
      </c>
      <c r="C27" s="27" t="s">
        <v>11</v>
      </c>
      <c r="D27" s="17">
        <v>0.28715244401246298</v>
      </c>
      <c r="E27" s="17">
        <v>0.32168344408273603</v>
      </c>
      <c r="F27" s="17">
        <v>2.0486975759849799</v>
      </c>
      <c r="G27" s="17">
        <v>0.23301382999989001</v>
      </c>
      <c r="H27" s="38">
        <v>0.28126544699989597</v>
      </c>
    </row>
    <row r="28" spans="1:8" x14ac:dyDescent="0.15">
      <c r="A28" s="21"/>
      <c r="B28" s="21"/>
      <c r="C28" s="23" t="s">
        <v>56</v>
      </c>
      <c r="D28" s="17">
        <v>0.38627594592981002</v>
      </c>
      <c r="E28" s="17">
        <v>0.429837140953168</v>
      </c>
      <c r="F28" s="17">
        <v>25.178262497007299</v>
      </c>
      <c r="G28" s="17">
        <v>0.518444739999949</v>
      </c>
      <c r="H28" s="38">
        <v>0.38957777400014398</v>
      </c>
    </row>
    <row r="29" spans="1:8" s="11" customFormat="1" x14ac:dyDescent="0.15">
      <c r="A29" s="21"/>
      <c r="B29" s="33"/>
      <c r="C29" s="30" t="s">
        <v>57</v>
      </c>
      <c r="D29" s="18">
        <v>1.7493289359845201</v>
      </c>
      <c r="E29" s="18">
        <v>1.81356537993997</v>
      </c>
      <c r="F29" s="18">
        <v>2.1901975200162198</v>
      </c>
      <c r="G29" s="18">
        <v>1.1407079950001799</v>
      </c>
      <c r="H29" s="37">
        <v>2.9315335070000401</v>
      </c>
    </row>
    <row r="30" spans="1:8" x14ac:dyDescent="0.15">
      <c r="A30" s="21"/>
      <c r="B30" s="31" t="s">
        <v>20</v>
      </c>
      <c r="C30" s="32" t="s">
        <v>12</v>
      </c>
      <c r="D30" s="17">
        <v>21.473149617901001</v>
      </c>
      <c r="E30" s="17">
        <v>12.4680417219642</v>
      </c>
      <c r="F30" s="17">
        <v>19.721532533003401</v>
      </c>
      <c r="G30" s="17">
        <v>10.034744810999801</v>
      </c>
      <c r="H30" s="38">
        <v>6.0135008770000598</v>
      </c>
    </row>
    <row r="31" spans="1:8" x14ac:dyDescent="0.15">
      <c r="A31" s="21"/>
      <c r="B31" s="21"/>
      <c r="C31" s="23" t="s">
        <v>13</v>
      </c>
      <c r="D31" s="17">
        <v>9.1307565479073602</v>
      </c>
      <c r="E31" s="17">
        <v>5.0531151550821898</v>
      </c>
      <c r="F31" s="17">
        <v>10.7624927630531</v>
      </c>
      <c r="G31" s="17">
        <v>9.8556633959999491</v>
      </c>
      <c r="H31" s="38">
        <v>5.4243278760000004</v>
      </c>
    </row>
    <row r="32" spans="1:8" s="11" customFormat="1" x14ac:dyDescent="0.15">
      <c r="A32" s="21"/>
      <c r="B32" s="33"/>
      <c r="C32" s="30" t="s">
        <v>14</v>
      </c>
      <c r="D32" s="18">
        <v>44.075891631888197</v>
      </c>
      <c r="E32" s="18">
        <v>33.519158737035397</v>
      </c>
      <c r="F32" s="18">
        <v>23.506159127980901</v>
      </c>
      <c r="G32" s="18">
        <v>22.931974768999901</v>
      </c>
      <c r="H32" s="37">
        <v>16.787593501999901</v>
      </c>
    </row>
    <row r="33" spans="1:8" x14ac:dyDescent="0.15">
      <c r="A33" s="21"/>
      <c r="B33" s="31" t="s">
        <v>21</v>
      </c>
      <c r="C33" s="32" t="s">
        <v>15</v>
      </c>
      <c r="D33" s="17">
        <v>0.72870961297303405</v>
      </c>
      <c r="E33" s="17">
        <v>0.771500790026038</v>
      </c>
      <c r="F33" s="17">
        <v>0.78369250602554497</v>
      </c>
      <c r="G33" s="17">
        <v>0.58345454599998403</v>
      </c>
      <c r="H33" s="38">
        <v>0.59869754700002797</v>
      </c>
    </row>
    <row r="34" spans="1:8" x14ac:dyDescent="0.15">
      <c r="A34" s="21"/>
      <c r="B34" s="21"/>
      <c r="C34" s="23" t="s">
        <v>58</v>
      </c>
      <c r="D34" s="17">
        <v>1.28428710158914E-2</v>
      </c>
      <c r="E34" s="17">
        <v>3.9459390100091696E-3</v>
      </c>
      <c r="F34" s="17">
        <v>5.6897229980677297E-2</v>
      </c>
      <c r="G34" s="17">
        <v>9.2414979999375594E-3</v>
      </c>
      <c r="H34" s="38">
        <v>3.55592999994769E-3</v>
      </c>
    </row>
    <row r="35" spans="1:8" s="11" customFormat="1" x14ac:dyDescent="0.15">
      <c r="A35" s="21"/>
      <c r="B35" s="33"/>
      <c r="C35" s="30" t="s">
        <v>59</v>
      </c>
      <c r="D35" s="18">
        <v>4.5695638048928204</v>
      </c>
      <c r="E35" s="18">
        <v>4.7829728780779899</v>
      </c>
      <c r="F35" s="18">
        <v>7.9536300579784402</v>
      </c>
      <c r="G35" s="37">
        <v>3.1686970600001101</v>
      </c>
      <c r="H35" s="37">
        <v>3.4625165180000201</v>
      </c>
    </row>
    <row r="36" spans="1:8" x14ac:dyDescent="0.15">
      <c r="A36" s="21"/>
      <c r="B36" s="21" t="s">
        <v>16</v>
      </c>
      <c r="C36" s="23" t="s">
        <v>16</v>
      </c>
      <c r="D36" s="17">
        <v>82.896310266107307</v>
      </c>
      <c r="E36" s="17">
        <v>65.328087496804002</v>
      </c>
      <c r="F36" s="17">
        <v>93.196820167009705</v>
      </c>
      <c r="G36" s="38">
        <v>48.861804079999899</v>
      </c>
      <c r="H36" s="38">
        <v>38.9200909179999</v>
      </c>
    </row>
    <row r="37" spans="1:8" s="11" customFormat="1" x14ac:dyDescent="0.15">
      <c r="A37" s="33"/>
      <c r="B37" s="33"/>
      <c r="C37" s="30" t="s">
        <v>60</v>
      </c>
      <c r="D37" s="18">
        <v>101</v>
      </c>
      <c r="E37" s="18">
        <v>89</v>
      </c>
      <c r="F37" s="18">
        <v>156</v>
      </c>
      <c r="G37" s="37">
        <v>69</v>
      </c>
      <c r="H37" s="37">
        <v>61</v>
      </c>
    </row>
    <row r="38" spans="1:8" x14ac:dyDescent="0.15">
      <c r="A38" s="28" t="s">
        <v>18</v>
      </c>
      <c r="B38" s="31" t="s">
        <v>19</v>
      </c>
      <c r="C38" s="32" t="s">
        <v>11</v>
      </c>
      <c r="D38" s="17">
        <v>0.27939464314840701</v>
      </c>
      <c r="E38" s="17">
        <v>0.30758150294423098</v>
      </c>
      <c r="F38" s="17">
        <v>2.4821481420076399</v>
      </c>
      <c r="G38" s="38">
        <v>0.24432433499987299</v>
      </c>
      <c r="H38" s="38">
        <v>0.26874214000008501</v>
      </c>
    </row>
    <row r="39" spans="1:8" x14ac:dyDescent="0.15">
      <c r="A39" s="21"/>
      <c r="B39" s="21"/>
      <c r="C39" s="23" t="s">
        <v>61</v>
      </c>
      <c r="D39" s="17">
        <v>0.40067043597809898</v>
      </c>
      <c r="E39" s="17">
        <v>0.40792634687386398</v>
      </c>
      <c r="F39" s="17">
        <v>21.510927819996098</v>
      </c>
      <c r="G39" s="38">
        <v>0.334881112999937</v>
      </c>
      <c r="H39" s="38">
        <v>0.38824399999998599</v>
      </c>
    </row>
    <row r="40" spans="1:8" s="11" customFormat="1" x14ac:dyDescent="0.15">
      <c r="A40" s="21"/>
      <c r="B40" s="33"/>
      <c r="C40" s="30" t="s">
        <v>57</v>
      </c>
      <c r="D40" s="18">
        <v>6.1337697948329097</v>
      </c>
      <c r="E40" s="18">
        <v>5.8587893838994196</v>
      </c>
      <c r="F40" s="18">
        <v>7.7748009330243804</v>
      </c>
      <c r="G40" s="37">
        <v>4.1336264210001401</v>
      </c>
      <c r="H40" s="37">
        <v>10.6227323959999</v>
      </c>
    </row>
    <row r="41" spans="1:8" x14ac:dyDescent="0.15">
      <c r="A41" s="21"/>
      <c r="B41" s="31" t="s">
        <v>20</v>
      </c>
      <c r="C41" s="32" t="s">
        <v>12</v>
      </c>
      <c r="D41" s="17">
        <v>76.358046629000398</v>
      </c>
      <c r="E41" s="17">
        <v>45.899578189942901</v>
      </c>
      <c r="F41" s="17">
        <v>61.7896196870133</v>
      </c>
      <c r="G41" s="38">
        <v>37.088173383000097</v>
      </c>
      <c r="H41" s="38">
        <v>22.972990943999999</v>
      </c>
    </row>
    <row r="42" spans="1:8" x14ac:dyDescent="0.15">
      <c r="A42" s="21"/>
      <c r="B42" s="21"/>
      <c r="C42" s="23" t="s">
        <v>13</v>
      </c>
      <c r="D42" s="17">
        <v>37.570265477057497</v>
      </c>
      <c r="E42" s="17" t="s">
        <v>65</v>
      </c>
      <c r="F42" s="17">
        <v>40.060987550008498</v>
      </c>
      <c r="G42" s="38">
        <v>40.0024498350001</v>
      </c>
      <c r="H42" s="38">
        <v>22.139800107000099</v>
      </c>
    </row>
    <row r="43" spans="1:8" s="11" customFormat="1" x14ac:dyDescent="0.15">
      <c r="A43" s="21"/>
      <c r="B43" s="33"/>
      <c r="C43" s="30" t="s">
        <v>14</v>
      </c>
      <c r="D43" s="18">
        <v>92.053681011078794</v>
      </c>
      <c r="E43" s="18" t="s">
        <v>66</v>
      </c>
      <c r="F43" s="18">
        <v>53.267810357035998</v>
      </c>
      <c r="G43" s="37">
        <v>49.044152588000003</v>
      </c>
      <c r="H43" s="37">
        <v>33.081466564999999</v>
      </c>
    </row>
    <row r="44" spans="1:8" x14ac:dyDescent="0.15">
      <c r="A44" s="21"/>
      <c r="B44" s="31" t="s">
        <v>21</v>
      </c>
      <c r="C44" s="32" t="s">
        <v>15</v>
      </c>
      <c r="D44" s="17">
        <v>2.9507247160654502</v>
      </c>
      <c r="E44" s="17" t="s">
        <v>66</v>
      </c>
      <c r="F44" s="17">
        <v>3.1344263299833899</v>
      </c>
      <c r="G44" s="38">
        <v>2.3789881560001001</v>
      </c>
      <c r="H44" s="38">
        <v>2.36179190200005</v>
      </c>
    </row>
    <row r="45" spans="1:8" x14ac:dyDescent="0.15">
      <c r="A45" s="21"/>
      <c r="B45" s="21"/>
      <c r="C45" s="23" t="s">
        <v>58</v>
      </c>
      <c r="D45" s="17">
        <v>4.6331230551004401E-3</v>
      </c>
      <c r="E45" s="17" t="s">
        <v>66</v>
      </c>
      <c r="F45" s="17">
        <v>0.15347997099161101</v>
      </c>
      <c r="G45" s="38">
        <v>1.11080839999431E-2</v>
      </c>
      <c r="H45" s="38">
        <v>5.4511599998932E-3</v>
      </c>
    </row>
    <row r="46" spans="1:8" s="11" customFormat="1" x14ac:dyDescent="0.15">
      <c r="A46" s="21"/>
      <c r="B46" s="33"/>
      <c r="C46" s="30" t="s">
        <v>62</v>
      </c>
      <c r="D46" s="18">
        <v>4.6424048559274498</v>
      </c>
      <c r="E46" s="18" t="s">
        <v>66</v>
      </c>
      <c r="F46" s="18">
        <v>13.794507298967799</v>
      </c>
      <c r="G46" s="37">
        <v>3.2355862370000001</v>
      </c>
      <c r="H46" s="37">
        <v>3.6373237749999099</v>
      </c>
    </row>
    <row r="47" spans="1:8" x14ac:dyDescent="0.15">
      <c r="A47" s="21"/>
      <c r="B47" s="21" t="s">
        <v>16</v>
      </c>
      <c r="C47" s="23" t="s">
        <v>16</v>
      </c>
      <c r="D47" s="17">
        <v>222.24066521413599</v>
      </c>
      <c r="E47" s="17" t="s">
        <v>66</v>
      </c>
      <c r="F47" s="17">
        <v>206.98031143296899</v>
      </c>
      <c r="G47" s="38">
        <v>137.993835856</v>
      </c>
      <c r="H47">
        <v>107.56924044599999</v>
      </c>
    </row>
    <row r="48" spans="1:8" x14ac:dyDescent="0.15">
      <c r="A48" s="21"/>
      <c r="B48" s="21"/>
      <c r="C48" s="23" t="s">
        <v>60</v>
      </c>
      <c r="D48" s="17">
        <v>242</v>
      </c>
      <c r="E48" s="17" t="s">
        <v>66</v>
      </c>
      <c r="F48" s="17">
        <v>286</v>
      </c>
      <c r="G48" s="38">
        <v>157</v>
      </c>
      <c r="H48">
        <v>131</v>
      </c>
    </row>
  </sheetData>
  <mergeCells count="18"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  <mergeCell ref="A22:B25"/>
    <mergeCell ref="A27:A37"/>
  </mergeCells>
  <phoneticPr fontId="2"/>
  <conditionalFormatting sqref="F9:G9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:G10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73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6:G16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:G17">
    <cfRule type="dataBar" priority="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F19">
    <cfRule type="dataBar" priority="76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A27:XFD27 A38:XFD38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39:XFD39 A28:XFD28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40:XFD40 A29:XFD29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41:XFD41 A30:XFD30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42:XFD42 A31:XFD3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43:XFD43 A32:XFD32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44:XFD44 A33:XFD33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45:XFD45 A34:XFD34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35:XFD35 A46:XFD46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7 A48:XFD48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23:XFD23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6:XFD37 A47:XFD4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9:D9 F9:G9 I9:XFD9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A10:D10 F10:G10 I10:XFD10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A12:D12 F12:G12 I12:XFD1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A13:D14 F13:G14 I13:XFD1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A9:D9 A16:D16 F9:G9 F16:G16 I16:XFD16 I9:XFD9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A10:D10 A17:D17 F10:G10 F17:G17 I17:XFD17 I10:XFD10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A19:D19 F19:G19 I19:XFD19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A20:D20 F20:G20 I20:XFD2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A21:D21 F21:G21 I21:XFD2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A24:D24 F24:G24 I24:XFD24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A25:D25 F25:G25 I25:XFD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D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A9:XFD9 A16:XFD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0:XFD10 A17:XFD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F9:G9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F10:G10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F16:G16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F17:G17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A39:XFD39 A28:XFD28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A40:XFD40 A29:XFD29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A41:XFD41 A30:XFD30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A42:XFD42 A31:XFD31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A43:XFD43 A32:XFD32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A44:XFD44 A33:XFD33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A45:XFD45 A34:XFD34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F9:G9 I9:XFD9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F10:G10 I10:XFD10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A12:D12 F12:G12 I12:XFD12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A13:D14 F13:G14 I13:XFD14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A16:D16 F9:G9 F16:G16 I16:XFD16 I9:XFD9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A17:D17 F10:G10 F17:G17 I17:XFD17 I10:XFD10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A19:D19 F19:G19 I19:XFD19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A20:D20 F20:G20 I20:XFD20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A21:D21 F21:G21 I21:XFD21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A24:D24 F24:G24 I24:XFD24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A25:D25 F25:G25 I25:XFD25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2025-12-15T00:05:53Z</dcterms:modified>
</cp:coreProperties>
</file>