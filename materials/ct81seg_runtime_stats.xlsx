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CT81SegApp\materials\"/>
    </mc:Choice>
  </mc:AlternateContent>
  <xr:revisionPtr revIDLastSave="0" documentId="13_ncr:1_{C476F20C-406D-4827-8526-BCE5E57A213F}" xr6:coauthVersionLast="47" xr6:coauthVersionMax="47" xr10:uidLastSave="{00000000-0000-0000-0000-000000000000}"/>
  <bookViews>
    <workbookView xWindow="-120" yWindow="-120" windowWidth="29040" windowHeight="15720" xr2:uid="{CC17635D-67C6-4E2B-BF5C-757E9F68C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F17" i="1"/>
  <c r="F10" i="1"/>
</calcChain>
</file>

<file path=xl/sharedStrings.xml><?xml version="1.0" encoding="utf-8"?>
<sst xmlns="http://schemas.openxmlformats.org/spreadsheetml/2006/main" count="105" uniqueCount="66">
  <si>
    <t>OS</t>
    <phoneticPr fontId="2"/>
  </si>
  <si>
    <t>GPU model</t>
    <phoneticPr fontId="2"/>
  </si>
  <si>
    <t>Person in charge</t>
    <phoneticPr fontId="2"/>
  </si>
  <si>
    <t>Gu</t>
  </si>
  <si>
    <t>Segmentation experiment runtime (s)</t>
  </si>
  <si>
    <t>CPU model</t>
  </si>
  <si>
    <t>Task disk drive type</t>
  </si>
  <si>
    <t>Machine type</t>
  </si>
  <si>
    <t>Machine detail</t>
  </si>
  <si>
    <t>CPU</t>
  </si>
  <si>
    <t>GPU</t>
  </si>
  <si>
    <t>Loading config</t>
  </si>
  <si>
    <t>Model Inference</t>
  </si>
  <si>
    <t>HU calculation</t>
  </si>
  <si>
    <t>Rendering report</t>
  </si>
  <si>
    <t>Saving labelmap</t>
  </si>
  <si>
    <t>Total</t>
  </si>
  <si>
    <t>Downsampled
CT
(487 slices)</t>
  </si>
  <si>
    <t>Original
CT
(1945 slices)</t>
  </si>
  <si>
    <t>Loading</t>
  </si>
  <si>
    <t>Running</t>
  </si>
  <si>
    <t>Saving</t>
  </si>
  <si>
    <t>Task setting</t>
  </si>
  <si>
    <t>Machine enviroment</t>
  </si>
  <si>
    <t>Workstation</t>
  </si>
  <si>
    <t>Windows 11 Edu</t>
  </si>
  <si>
    <t>Ubuntu 24.04</t>
  </si>
  <si>
    <t>Virtual machine Platform</t>
  </si>
  <si>
    <t>WSL Singularity</t>
  </si>
  <si>
    <t>Intel Xeon w5-2465X</t>
  </si>
  <si>
    <t>2023/2</t>
  </si>
  <si>
    <t>GeForce RTX 2080ti</t>
  </si>
  <si>
    <t>2018/9</t>
  </si>
  <si>
    <t>SATA HDD</t>
  </si>
  <si>
    <t>Machine (devonrex)</t>
  </si>
  <si>
    <t>NVMe SSD</t>
  </si>
  <si>
    <t>Singularity</t>
  </si>
  <si>
    <t>GeForce RTX 1080ti</t>
  </si>
  <si>
    <t>Intel Xeon CPU E5-1650 v4</t>
  </si>
  <si>
    <t>Machine 1 (orca)</t>
  </si>
  <si>
    <t>Machine 2 (orca)</t>
  </si>
  <si>
    <r>
      <rPr>
        <sz val="11"/>
        <color theme="0" tint="-0.34998626667073579"/>
        <rFont val="Aptos Display"/>
        <family val="2"/>
        <scheme val="major"/>
      </rPr>
      <t xml:space="preserve">Virtual </t>
    </r>
    <r>
      <rPr>
        <sz val="11"/>
        <color theme="1"/>
        <rFont val="Aptos Display"/>
        <family val="2"/>
        <scheme val="major"/>
      </rPr>
      <t>OS</t>
    </r>
  </si>
  <si>
    <r>
      <rPr>
        <sz val="11"/>
        <color theme="0" tint="-0.34998626667073579"/>
        <rFont val="Aptos Display"/>
        <family val="2"/>
        <scheme val="major"/>
      </rPr>
      <t>CPU</t>
    </r>
    <r>
      <rPr>
        <sz val="11"/>
        <color theme="1"/>
        <rFont val="Aptos Display"/>
        <family val="2"/>
        <scheme val="major"/>
      </rPr>
      <t xml:space="preserve"> launch price (USD)</t>
    </r>
  </si>
  <si>
    <r>
      <rPr>
        <sz val="11"/>
        <color theme="0" tint="-0.34998626667073579"/>
        <rFont val="Aptos Display"/>
        <family val="2"/>
        <scheme val="major"/>
      </rPr>
      <t>CPU launch price</t>
    </r>
    <r>
      <rPr>
        <sz val="11"/>
        <color theme="1"/>
        <rFont val="Aptos Display"/>
        <family val="2"/>
        <scheme val="major"/>
      </rPr>
      <t xml:space="preserve"> (JPY)</t>
    </r>
  </si>
  <si>
    <r>
      <rPr>
        <sz val="11"/>
        <color theme="0" tint="-0.34998626667073579"/>
        <rFont val="Aptos Display"/>
        <family val="2"/>
        <scheme val="major"/>
      </rPr>
      <t>CPU launch</t>
    </r>
    <r>
      <rPr>
        <sz val="11"/>
        <color theme="1"/>
        <rFont val="Aptos Display"/>
        <family val="2"/>
        <scheme val="major"/>
      </rPr>
      <t xml:space="preserve"> date</t>
    </r>
  </si>
  <si>
    <r>
      <rPr>
        <sz val="11"/>
        <color theme="0" tint="-0.34998626667073579"/>
        <rFont val="Aptos Display"/>
        <family val="2"/>
        <scheme val="major"/>
      </rPr>
      <t>CPU</t>
    </r>
    <r>
      <rPr>
        <sz val="11"/>
        <color theme="1"/>
        <rFont val="Aptos Display"/>
        <family val="2"/>
        <scheme val="major"/>
      </rPr>
      <t xml:space="preserve"> cores</t>
    </r>
  </si>
  <si>
    <r>
      <rPr>
        <sz val="11"/>
        <color theme="0" tint="-0.34998626667073579"/>
        <rFont val="Aptos Display"/>
        <family val="2"/>
        <scheme val="major"/>
      </rPr>
      <t xml:space="preserve">CPU </t>
    </r>
    <r>
      <rPr>
        <sz val="11"/>
        <color theme="1"/>
        <rFont val="Aptos Display"/>
        <family val="2"/>
        <scheme val="major"/>
      </rPr>
      <t>base frequency (GHz)</t>
    </r>
  </si>
  <si>
    <r>
      <rPr>
        <sz val="11"/>
        <color theme="0" tint="-0.34998626667073579"/>
        <rFont val="Aptos Display"/>
        <family val="2"/>
        <scheme val="major"/>
      </rPr>
      <t xml:space="preserve">CPU </t>
    </r>
    <r>
      <rPr>
        <sz val="11"/>
        <color theme="1"/>
        <rFont val="Aptos Display"/>
        <family val="2"/>
        <scheme val="major"/>
      </rPr>
      <t>Max Turbo Frequency</t>
    </r>
  </si>
  <si>
    <r>
      <rPr>
        <sz val="11"/>
        <color theme="0" tint="-0.34998626667073579"/>
        <rFont val="Aptos Display"/>
        <family val="2"/>
        <scheme val="major"/>
      </rPr>
      <t>GPU</t>
    </r>
    <r>
      <rPr>
        <sz val="11"/>
        <color theme="1"/>
        <rFont val="Aptos Display"/>
        <family val="2"/>
        <scheme val="major"/>
      </rPr>
      <t xml:space="preserve"> launch price (USD)</t>
    </r>
  </si>
  <si>
    <r>
      <rPr>
        <sz val="11"/>
        <color theme="0" tint="-0.34998626667073579"/>
        <rFont val="Aptos Display"/>
        <family val="2"/>
        <scheme val="major"/>
      </rPr>
      <t>GPU launch price</t>
    </r>
    <r>
      <rPr>
        <sz val="11"/>
        <color theme="1"/>
        <rFont val="Aptos Display"/>
        <family val="2"/>
        <scheme val="major"/>
      </rPr>
      <t xml:space="preserve"> (JPY)</t>
    </r>
  </si>
  <si>
    <r>
      <rPr>
        <sz val="11"/>
        <color theme="0" tint="-0.34998626667073579"/>
        <rFont val="Aptos Display"/>
        <family val="2"/>
        <scheme val="major"/>
      </rPr>
      <t xml:space="preserve">GPU launch </t>
    </r>
    <r>
      <rPr>
        <sz val="11"/>
        <color theme="1"/>
        <rFont val="Aptos Display"/>
        <family val="2"/>
        <scheme val="major"/>
      </rPr>
      <t>date</t>
    </r>
  </si>
  <si>
    <r>
      <rPr>
        <sz val="11"/>
        <color theme="0" tint="-0.34998626667073579"/>
        <rFont val="Aptos Display"/>
        <family val="2"/>
        <scheme val="major"/>
      </rPr>
      <t>GPU</t>
    </r>
    <r>
      <rPr>
        <sz val="11"/>
        <color theme="1"/>
        <rFont val="Aptos Display"/>
        <family val="2"/>
        <scheme val="major"/>
      </rPr>
      <t xml:space="preserve"> Compute Capability</t>
    </r>
  </si>
  <si>
    <r>
      <rPr>
        <sz val="11"/>
        <color theme="0" tint="-0.34998626667073579"/>
        <rFont val="Aptos Display"/>
        <family val="2"/>
        <scheme val="major"/>
      </rPr>
      <t>GPU</t>
    </r>
    <r>
      <rPr>
        <sz val="11"/>
        <color theme="1"/>
        <rFont val="Aptos Display"/>
        <family val="2"/>
        <scheme val="major"/>
      </rPr>
      <t xml:space="preserve"> memory (GB)</t>
    </r>
  </si>
  <si>
    <r>
      <rPr>
        <sz val="11"/>
        <color theme="0" tint="-0.34998626667073579"/>
        <rFont val="Aptos Display"/>
        <family val="2"/>
        <scheme val="major"/>
      </rPr>
      <t>GPU</t>
    </r>
    <r>
      <rPr>
        <sz val="11"/>
        <color theme="1"/>
        <rFont val="Aptos Display"/>
        <family val="2"/>
        <scheme val="major"/>
      </rPr>
      <t xml:space="preserve"> # of CUDA cores</t>
    </r>
  </si>
  <si>
    <r>
      <rPr>
        <sz val="11"/>
        <color theme="0" tint="-0.34998626667073579"/>
        <rFont val="Aptos Display"/>
        <family val="2"/>
        <scheme val="major"/>
      </rPr>
      <t>Task</t>
    </r>
    <r>
      <rPr>
        <sz val="11"/>
        <color theme="1"/>
        <rFont val="Aptos Display"/>
        <family val="2"/>
        <scheme val="major"/>
      </rPr>
      <t xml:space="preserve"> # of GPUs</t>
    </r>
  </si>
  <si>
    <r>
      <rPr>
        <sz val="11"/>
        <color theme="0" tint="-0.34998626667073579"/>
        <rFont val="Aptos Display"/>
        <family val="2"/>
        <scheme val="major"/>
      </rPr>
      <t>Task</t>
    </r>
    <r>
      <rPr>
        <sz val="11"/>
        <color theme="1"/>
        <rFont val="Aptos Display"/>
        <family val="2"/>
        <scheme val="major"/>
      </rPr>
      <t xml:space="preserve"> # of cores</t>
    </r>
  </si>
  <si>
    <r>
      <rPr>
        <sz val="11"/>
        <color theme="0" tint="-0.34998626667073579"/>
        <rFont val="Aptos Display"/>
        <family val="2"/>
        <scheme val="major"/>
      </rPr>
      <t>Task</t>
    </r>
    <r>
      <rPr>
        <sz val="11"/>
        <color theme="1"/>
        <rFont val="Aptos Display"/>
        <family val="2"/>
        <scheme val="major"/>
      </rPr>
      <t xml:space="preserve"> batch size</t>
    </r>
  </si>
  <si>
    <r>
      <rPr>
        <sz val="11"/>
        <color theme="0" tint="-0.34998626667073579"/>
        <rFont val="Aptos Display"/>
        <family val="2"/>
        <scheme val="major"/>
      </rPr>
      <t>Loading</t>
    </r>
    <r>
      <rPr>
        <sz val="11"/>
        <color theme="0" tint="-0.499984740745262"/>
        <rFont val="Aptos Display"/>
        <family val="2"/>
        <scheme val="major"/>
      </rPr>
      <t xml:space="preserve"> </t>
    </r>
    <r>
      <rPr>
        <sz val="11"/>
        <color theme="1"/>
        <rFont val="Aptos Display"/>
        <family val="2"/>
        <scheme val="major"/>
      </rPr>
      <t>model</t>
    </r>
  </si>
  <si>
    <r>
      <rPr>
        <sz val="11"/>
        <color theme="0" tint="-0.34998626667073579"/>
        <rFont val="Aptos Display"/>
        <family val="2"/>
        <scheme val="major"/>
      </rPr>
      <t>Loading</t>
    </r>
    <r>
      <rPr>
        <sz val="11"/>
        <color theme="1"/>
        <rFont val="Aptos Display"/>
        <family val="2"/>
        <scheme val="major"/>
      </rPr>
      <t xml:space="preserve"> image</t>
    </r>
  </si>
  <si>
    <r>
      <rPr>
        <sz val="11"/>
        <color theme="0" tint="-0.34998626667073579"/>
        <rFont val="Aptos Display"/>
        <family val="2"/>
        <scheme val="major"/>
      </rPr>
      <t xml:space="preserve">Saving </t>
    </r>
    <r>
      <rPr>
        <sz val="11"/>
        <color theme="1"/>
        <rFont val="Aptos Display"/>
        <family val="2"/>
        <scheme val="major"/>
      </rPr>
      <t>HU table</t>
    </r>
  </si>
  <si>
    <r>
      <rPr>
        <sz val="11"/>
        <color theme="0" tint="-0.34998626667073579"/>
        <rFont val="Aptos Display"/>
        <family val="2"/>
        <scheme val="major"/>
      </rPr>
      <t>Saving</t>
    </r>
    <r>
      <rPr>
        <sz val="11"/>
        <color theme="1"/>
        <rFont val="Aptos Display"/>
        <family val="2"/>
        <scheme val="major"/>
      </rPr>
      <t xml:space="preserve"> report</t>
    </r>
  </si>
  <si>
    <r>
      <rPr>
        <sz val="11"/>
        <color theme="0" tint="-0.34998626667073579"/>
        <rFont val="Aptos Display"/>
        <family val="2"/>
        <scheme val="major"/>
      </rPr>
      <t xml:space="preserve">Total </t>
    </r>
    <r>
      <rPr>
        <sz val="11"/>
        <color theme="1"/>
        <rFont val="Aptos Display"/>
        <family val="2"/>
        <scheme val="major"/>
      </rPr>
      <t>including env setup</t>
    </r>
  </si>
  <si>
    <r>
      <rPr>
        <sz val="11"/>
        <color theme="0" tint="-0.34998626667073579"/>
        <rFont val="Aptos Display"/>
        <family val="2"/>
        <scheme val="major"/>
      </rPr>
      <t>Loading</t>
    </r>
    <r>
      <rPr>
        <sz val="11"/>
        <color theme="1"/>
        <rFont val="Aptos Display"/>
        <family val="2"/>
        <scheme val="major"/>
      </rPr>
      <t xml:space="preserve"> model</t>
    </r>
  </si>
  <si>
    <r>
      <rPr>
        <sz val="11"/>
        <color theme="0" tint="-0.34998626667073579"/>
        <rFont val="Aptos Display"/>
        <family val="2"/>
        <scheme val="major"/>
      </rPr>
      <t xml:space="preserve">Saving </t>
    </r>
    <r>
      <rPr>
        <sz val="11"/>
        <color theme="1"/>
        <rFont val="Aptos Display"/>
        <family val="2"/>
        <scheme val="major"/>
      </rPr>
      <t>report</t>
    </r>
  </si>
  <si>
    <t>&lt;-</t>
  </si>
  <si>
    <t>2016/6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</si>
</sst>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¥-411]#,##0"/>
  </numFmts>
  <fonts count="11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scheme val="minor"/>
    </font>
    <font>
      <sz val="6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 tint="-0.34998626667073579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5" fillId="3" borderId="0" xfId="2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3" borderId="0" xfId="2" applyAlignment="1">
      <alignment horizontal="center" vertical="center" wrapText="1"/>
    </xf>
    <xf numFmtId="0" fontId="4" fillId="2" borderId="0" xfId="1" applyAlignment="1">
      <alignment horizontal="center" vertical="center"/>
    </xf>
    <xf numFmtId="2" fontId="0" fillId="0" borderId="0" xfId="0" applyNumberFormat="1" applyAlignment="1">
      <alignment horizontal="right" vertical="center" wrapText="1"/>
    </xf>
    <xf numFmtId="2" fontId="0" fillId="0" borderId="4" xfId="0" applyNumberFormat="1" applyBorder="1" applyAlignment="1">
      <alignment horizontal="right" vertical="center" wrapText="1"/>
    </xf>
    <xf numFmtId="0" fontId="6" fillId="4" borderId="0" xfId="3" applyAlignment="1">
      <alignment horizontal="center" vertical="center"/>
    </xf>
    <xf numFmtId="0" fontId="4" fillId="2" borderId="4" xfId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C41F-649F-411D-8D32-F880ADA04FFA}">
  <dimension ref="A1:G48"/>
  <sheetViews>
    <sheetView tabSelected="1" zoomScaleNormal="100"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D18" sqref="D18"/>
    </sheetView>
  </sheetViews>
  <sheetFormatPr defaultColWidth="8.875" defaultRowHeight="15" x14ac:dyDescent="0.15"/>
  <cols>
    <col min="1" max="1" width="13.125" style="23" customWidth="1"/>
    <col min="2" max="2" width="8.375" style="23" customWidth="1"/>
    <col min="3" max="3" width="24.25" style="23" customWidth="1"/>
    <col min="4" max="4" width="24.25" customWidth="1"/>
    <col min="5" max="5" width="14.75" customWidth="1"/>
    <col min="6" max="6" width="18.75" customWidth="1"/>
    <col min="7" max="9" width="21" customWidth="1"/>
  </cols>
  <sheetData>
    <row r="1" spans="1:7" s="23" customFormat="1" x14ac:dyDescent="0.15">
      <c r="A1" s="21"/>
      <c r="B1" s="21"/>
      <c r="C1" s="21"/>
      <c r="D1" s="22" t="s">
        <v>39</v>
      </c>
      <c r="E1" s="22" t="s">
        <v>40</v>
      </c>
      <c r="F1" s="22" t="s">
        <v>34</v>
      </c>
    </row>
    <row r="2" spans="1:7" s="23" customFormat="1" ht="15.75" thickBot="1" x14ac:dyDescent="0.2">
      <c r="A2" s="24" t="s">
        <v>2</v>
      </c>
      <c r="B2" s="24"/>
      <c r="C2" s="24"/>
      <c r="D2" s="22" t="s">
        <v>3</v>
      </c>
      <c r="E2" s="22" t="s">
        <v>3</v>
      </c>
      <c r="F2" s="22" t="s">
        <v>3</v>
      </c>
    </row>
    <row r="3" spans="1:7" s="5" customFormat="1" ht="15.75" thickBot="1" x14ac:dyDescent="0.2">
      <c r="A3" s="25" t="s">
        <v>8</v>
      </c>
      <c r="B3" s="25"/>
      <c r="C3" s="25"/>
      <c r="D3" s="9"/>
      <c r="E3" s="9"/>
      <c r="F3" s="4"/>
    </row>
    <row r="4" spans="1:7" ht="15.75" customHeight="1" thickTop="1" x14ac:dyDescent="0.15">
      <c r="A4" s="26" t="s">
        <v>23</v>
      </c>
      <c r="B4" s="26"/>
      <c r="C4" s="27" t="s">
        <v>7</v>
      </c>
      <c r="D4" s="19" t="s">
        <v>24</v>
      </c>
      <c r="E4" s="1" t="s">
        <v>64</v>
      </c>
      <c r="F4" s="19" t="s">
        <v>24</v>
      </c>
    </row>
    <row r="5" spans="1:7" x14ac:dyDescent="0.15">
      <c r="A5" s="28"/>
      <c r="B5" s="28"/>
      <c r="C5" s="23" t="s">
        <v>0</v>
      </c>
      <c r="D5" s="16" t="s">
        <v>26</v>
      </c>
      <c r="E5" s="1" t="s">
        <v>64</v>
      </c>
      <c r="F5" s="15" t="s">
        <v>25</v>
      </c>
      <c r="G5" s="1"/>
    </row>
    <row r="6" spans="1:7" x14ac:dyDescent="0.15">
      <c r="A6" s="28"/>
      <c r="B6" s="28"/>
      <c r="C6" s="23" t="s">
        <v>27</v>
      </c>
      <c r="D6" s="16" t="s">
        <v>36</v>
      </c>
      <c r="E6" s="1" t="s">
        <v>64</v>
      </c>
      <c r="F6" s="13" t="s">
        <v>28</v>
      </c>
      <c r="G6" s="1"/>
    </row>
    <row r="7" spans="1:7" s="11" customFormat="1" x14ac:dyDescent="0.15">
      <c r="A7" s="29"/>
      <c r="B7" s="29"/>
      <c r="C7" s="30" t="s">
        <v>41</v>
      </c>
      <c r="D7" s="20" t="s">
        <v>26</v>
      </c>
      <c r="E7" s="12" t="s">
        <v>64</v>
      </c>
      <c r="F7" s="20" t="s">
        <v>26</v>
      </c>
    </row>
    <row r="8" spans="1:7" x14ac:dyDescent="0.15">
      <c r="A8" s="31" t="s">
        <v>9</v>
      </c>
      <c r="B8" s="31"/>
      <c r="C8" s="32" t="s">
        <v>5</v>
      </c>
      <c r="D8" s="14" t="s">
        <v>38</v>
      </c>
      <c r="E8" s="1" t="s">
        <v>64</v>
      </c>
      <c r="F8" s="2" t="s">
        <v>29</v>
      </c>
    </row>
    <row r="9" spans="1:7" x14ac:dyDescent="0.15">
      <c r="A9" s="21"/>
      <c r="B9" s="21"/>
      <c r="C9" s="23" t="s">
        <v>42</v>
      </c>
      <c r="D9" s="1">
        <v>621</v>
      </c>
      <c r="E9" s="1" t="s">
        <v>64</v>
      </c>
      <c r="F9" s="7">
        <v>1399</v>
      </c>
    </row>
    <row r="10" spans="1:7" x14ac:dyDescent="0.15">
      <c r="A10" s="21"/>
      <c r="B10" s="21"/>
      <c r="C10" s="23" t="s">
        <v>43</v>
      </c>
      <c r="D10" s="1">
        <f>D9*155.9</f>
        <v>96813.900000000009</v>
      </c>
      <c r="E10" s="1" t="s">
        <v>64</v>
      </c>
      <c r="F10" s="8">
        <f>F9*155.9</f>
        <v>218104.1</v>
      </c>
    </row>
    <row r="11" spans="1:7" x14ac:dyDescent="0.15">
      <c r="A11" s="21"/>
      <c r="B11" s="21"/>
      <c r="C11" s="23" t="s">
        <v>44</v>
      </c>
      <c r="D11" s="1" t="s">
        <v>65</v>
      </c>
      <c r="E11" s="1" t="s">
        <v>64</v>
      </c>
      <c r="F11" s="3" t="s">
        <v>30</v>
      </c>
    </row>
    <row r="12" spans="1:7" x14ac:dyDescent="0.15">
      <c r="A12" s="21"/>
      <c r="B12" s="21"/>
      <c r="C12" s="23" t="s">
        <v>45</v>
      </c>
      <c r="D12" s="1">
        <v>6</v>
      </c>
      <c r="E12" s="1" t="s">
        <v>64</v>
      </c>
      <c r="F12" s="2">
        <v>16</v>
      </c>
    </row>
    <row r="13" spans="1:7" x14ac:dyDescent="0.15">
      <c r="A13" s="21"/>
      <c r="B13" s="21"/>
      <c r="C13" s="23" t="s">
        <v>46</v>
      </c>
      <c r="D13" s="1">
        <v>3.6</v>
      </c>
      <c r="E13" s="1" t="s">
        <v>64</v>
      </c>
      <c r="F13" s="2">
        <v>3.1</v>
      </c>
    </row>
    <row r="14" spans="1:7" s="11" customFormat="1" x14ac:dyDescent="0.15">
      <c r="A14" s="33"/>
      <c r="B14" s="33"/>
      <c r="C14" s="30" t="s">
        <v>47</v>
      </c>
      <c r="D14" s="12">
        <v>4</v>
      </c>
      <c r="E14" s="12" t="s">
        <v>64</v>
      </c>
      <c r="F14" s="10">
        <v>4.7</v>
      </c>
    </row>
    <row r="15" spans="1:7" x14ac:dyDescent="0.15">
      <c r="A15" s="31" t="s">
        <v>10</v>
      </c>
      <c r="B15" s="31"/>
      <c r="C15" s="32" t="s">
        <v>1</v>
      </c>
      <c r="D15" s="14" t="s">
        <v>37</v>
      </c>
      <c r="E15" s="1" t="s">
        <v>64</v>
      </c>
      <c r="F15" s="2" t="s">
        <v>31</v>
      </c>
    </row>
    <row r="16" spans="1:7" x14ac:dyDescent="0.15">
      <c r="A16" s="21"/>
      <c r="B16" s="21"/>
      <c r="C16" s="23" t="s">
        <v>48</v>
      </c>
      <c r="D16" s="1"/>
      <c r="E16" s="1" t="s">
        <v>64</v>
      </c>
      <c r="F16" s="7">
        <v>999</v>
      </c>
    </row>
    <row r="17" spans="1:6" x14ac:dyDescent="0.15">
      <c r="A17" s="21"/>
      <c r="B17" s="21"/>
      <c r="C17" s="23" t="s">
        <v>49</v>
      </c>
      <c r="D17" s="1"/>
      <c r="E17" s="1" t="s">
        <v>64</v>
      </c>
      <c r="F17" s="8">
        <f>F16*155.9</f>
        <v>155744.1</v>
      </c>
    </row>
    <row r="18" spans="1:6" x14ac:dyDescent="0.15">
      <c r="A18" s="21"/>
      <c r="B18" s="21"/>
      <c r="C18" s="23" t="s">
        <v>50</v>
      </c>
      <c r="D18" s="1"/>
      <c r="E18" s="1" t="s">
        <v>64</v>
      </c>
      <c r="F18" s="3" t="s">
        <v>32</v>
      </c>
    </row>
    <row r="19" spans="1:6" x14ac:dyDescent="0.15">
      <c r="A19" s="21"/>
      <c r="B19" s="21"/>
      <c r="C19" s="23" t="s">
        <v>51</v>
      </c>
      <c r="D19" s="1"/>
      <c r="E19" s="1" t="s">
        <v>64</v>
      </c>
      <c r="F19" s="2">
        <v>7.5</v>
      </c>
    </row>
    <row r="20" spans="1:6" x14ac:dyDescent="0.15">
      <c r="A20" s="21"/>
      <c r="B20" s="21"/>
      <c r="C20" s="23" t="s">
        <v>52</v>
      </c>
      <c r="D20" s="1">
        <v>11</v>
      </c>
      <c r="E20" s="1" t="s">
        <v>64</v>
      </c>
      <c r="F20" s="2">
        <v>11</v>
      </c>
    </row>
    <row r="21" spans="1:6" s="11" customFormat="1" x14ac:dyDescent="0.15">
      <c r="A21" s="33"/>
      <c r="B21" s="33"/>
      <c r="C21" s="30" t="s">
        <v>53</v>
      </c>
      <c r="D21" s="12"/>
      <c r="E21" s="12" t="s">
        <v>64</v>
      </c>
      <c r="F21" s="10">
        <v>4352</v>
      </c>
    </row>
    <row r="22" spans="1:6" ht="13.5" customHeight="1" x14ac:dyDescent="0.15">
      <c r="A22" s="28" t="s">
        <v>22</v>
      </c>
      <c r="B22" s="28"/>
      <c r="C22" s="23" t="s">
        <v>6</v>
      </c>
      <c r="D22" s="16" t="s">
        <v>35</v>
      </c>
      <c r="E22" s="1" t="s">
        <v>64</v>
      </c>
      <c r="F22" s="15" t="s">
        <v>33</v>
      </c>
    </row>
    <row r="23" spans="1:6" x14ac:dyDescent="0.15">
      <c r="A23" s="28"/>
      <c r="B23" s="28"/>
      <c r="C23" s="23" t="s">
        <v>54</v>
      </c>
      <c r="D23" s="1">
        <v>1</v>
      </c>
      <c r="E23" s="36">
        <v>2</v>
      </c>
      <c r="F23" s="2">
        <v>1</v>
      </c>
    </row>
    <row r="24" spans="1:6" x14ac:dyDescent="0.15">
      <c r="A24" s="28"/>
      <c r="B24" s="28"/>
      <c r="C24" s="23" t="s">
        <v>55</v>
      </c>
      <c r="D24" s="1">
        <v>6</v>
      </c>
      <c r="E24" s="1" t="s">
        <v>64</v>
      </c>
      <c r="F24" s="2">
        <v>8</v>
      </c>
    </row>
    <row r="25" spans="1:6" ht="15.75" thickBot="1" x14ac:dyDescent="0.2">
      <c r="A25" s="34"/>
      <c r="B25" s="34"/>
      <c r="C25" s="23" t="s">
        <v>56</v>
      </c>
      <c r="D25" s="1">
        <v>2</v>
      </c>
      <c r="E25" s="1" t="s">
        <v>64</v>
      </c>
      <c r="F25" s="2">
        <v>2</v>
      </c>
    </row>
    <row r="26" spans="1:6" s="5" customFormat="1" ht="15.75" thickBot="1" x14ac:dyDescent="0.2">
      <c r="A26" s="25" t="s">
        <v>4</v>
      </c>
      <c r="B26" s="25"/>
      <c r="C26" s="25"/>
      <c r="D26" s="9"/>
      <c r="E26" s="9"/>
      <c r="F26" s="6"/>
    </row>
    <row r="27" spans="1:6" ht="15.75" thickTop="1" x14ac:dyDescent="0.15">
      <c r="A27" s="26" t="s">
        <v>17</v>
      </c>
      <c r="B27" s="35" t="s">
        <v>19</v>
      </c>
      <c r="C27" s="27" t="s">
        <v>11</v>
      </c>
      <c r="D27" s="17">
        <v>0.28715244401246298</v>
      </c>
      <c r="E27" s="17">
        <v>0.29374233097769298</v>
      </c>
      <c r="F27" s="17">
        <v>2.4038511489634402</v>
      </c>
    </row>
    <row r="28" spans="1:6" x14ac:dyDescent="0.15">
      <c r="A28" s="21"/>
      <c r="B28" s="21"/>
      <c r="C28" s="23" t="s">
        <v>57</v>
      </c>
      <c r="D28" s="17">
        <v>0.38627594592981002</v>
      </c>
      <c r="E28" s="17">
        <v>0.41108131106011497</v>
      </c>
      <c r="F28" s="17">
        <v>29.7253813539864</v>
      </c>
    </row>
    <row r="29" spans="1:6" s="11" customFormat="1" x14ac:dyDescent="0.15">
      <c r="A29" s="21"/>
      <c r="B29" s="33"/>
      <c r="C29" s="30" t="s">
        <v>58</v>
      </c>
      <c r="D29" s="18">
        <v>1.7493289359845201</v>
      </c>
      <c r="E29" s="18">
        <v>3.7218914208933702</v>
      </c>
      <c r="F29" s="18">
        <v>2.1576455130125298</v>
      </c>
    </row>
    <row r="30" spans="1:6" x14ac:dyDescent="0.15">
      <c r="A30" s="21"/>
      <c r="B30" s="31" t="s">
        <v>20</v>
      </c>
      <c r="C30" s="32" t="s">
        <v>12</v>
      </c>
      <c r="D30" s="17">
        <v>21.473149617901001</v>
      </c>
      <c r="E30" s="17">
        <v>12.375974343856701</v>
      </c>
      <c r="F30" s="17">
        <v>21.6080634089885</v>
      </c>
    </row>
    <row r="31" spans="1:6" x14ac:dyDescent="0.15">
      <c r="A31" s="21"/>
      <c r="B31" s="21"/>
      <c r="C31" s="23" t="s">
        <v>13</v>
      </c>
      <c r="D31" s="17">
        <v>9.1307565479073602</v>
      </c>
      <c r="E31" s="17">
        <v>5.0524217239581004</v>
      </c>
      <c r="F31" s="17">
        <v>10.5006086740177</v>
      </c>
    </row>
    <row r="32" spans="1:6" s="11" customFormat="1" x14ac:dyDescent="0.15">
      <c r="A32" s="21"/>
      <c r="B32" s="33"/>
      <c r="C32" s="30" t="s">
        <v>14</v>
      </c>
      <c r="D32" s="18">
        <v>44.075891631888197</v>
      </c>
      <c r="E32" s="18">
        <v>33.902424344094399</v>
      </c>
      <c r="F32" s="18">
        <v>24.461745104985301</v>
      </c>
    </row>
    <row r="33" spans="1:6" x14ac:dyDescent="0.15">
      <c r="A33" s="21"/>
      <c r="B33" s="31" t="s">
        <v>21</v>
      </c>
      <c r="C33" s="32" t="s">
        <v>15</v>
      </c>
      <c r="D33" s="17">
        <v>0.72870961297303405</v>
      </c>
      <c r="E33" s="17">
        <v>0.74369219085201599</v>
      </c>
      <c r="F33" s="17">
        <v>0.78889504598919302</v>
      </c>
    </row>
    <row r="34" spans="1:6" x14ac:dyDescent="0.15">
      <c r="A34" s="21"/>
      <c r="B34" s="21"/>
      <c r="C34" s="23" t="s">
        <v>59</v>
      </c>
      <c r="D34" s="17">
        <v>1.28428710158914E-2</v>
      </c>
      <c r="E34" s="17">
        <v>4.9256070051342197E-3</v>
      </c>
      <c r="F34" s="17">
        <v>0.21750033501302801</v>
      </c>
    </row>
    <row r="35" spans="1:6" s="11" customFormat="1" x14ac:dyDescent="0.15">
      <c r="A35" s="21"/>
      <c r="B35" s="33"/>
      <c r="C35" s="30" t="s">
        <v>60</v>
      </c>
      <c r="D35" s="18">
        <v>4.5695638048928204</v>
      </c>
      <c r="E35" s="18">
        <v>4.6572331739589501</v>
      </c>
      <c r="F35" s="18">
        <v>13.952500746003301</v>
      </c>
    </row>
    <row r="36" spans="1:6" x14ac:dyDescent="0.15">
      <c r="A36" s="21"/>
      <c r="B36" s="21" t="s">
        <v>16</v>
      </c>
      <c r="C36" s="23" t="s">
        <v>16</v>
      </c>
      <c r="D36" s="17">
        <v>82.896310266107307</v>
      </c>
      <c r="E36" s="17">
        <v>64.886986307101296</v>
      </c>
      <c r="F36" s="17">
        <v>107.392583422013</v>
      </c>
    </row>
    <row r="37" spans="1:6" s="11" customFormat="1" x14ac:dyDescent="0.15">
      <c r="A37" s="33"/>
      <c r="B37" s="33"/>
      <c r="C37" s="30" t="s">
        <v>61</v>
      </c>
      <c r="D37" s="18">
        <v>101</v>
      </c>
      <c r="E37" s="18">
        <v>89</v>
      </c>
      <c r="F37" s="18">
        <v>186</v>
      </c>
    </row>
    <row r="38" spans="1:6" x14ac:dyDescent="0.15">
      <c r="A38" s="28" t="s">
        <v>18</v>
      </c>
      <c r="B38" s="31" t="s">
        <v>19</v>
      </c>
      <c r="C38" s="32" t="s">
        <v>11</v>
      </c>
      <c r="D38" s="17">
        <v>0.27939464314840701</v>
      </c>
      <c r="E38" s="17"/>
      <c r="F38" s="17">
        <v>2.4821481420076399</v>
      </c>
    </row>
    <row r="39" spans="1:6" x14ac:dyDescent="0.15">
      <c r="A39" s="21"/>
      <c r="B39" s="21"/>
      <c r="C39" s="23" t="s">
        <v>62</v>
      </c>
      <c r="D39" s="17">
        <v>0.40067043597809898</v>
      </c>
      <c r="E39" s="17"/>
      <c r="F39" s="17">
        <v>21.510927819996098</v>
      </c>
    </row>
    <row r="40" spans="1:6" s="11" customFormat="1" x14ac:dyDescent="0.15">
      <c r="A40" s="21"/>
      <c r="B40" s="33"/>
      <c r="C40" s="30" t="s">
        <v>58</v>
      </c>
      <c r="D40" s="18">
        <v>6.1337697948329097</v>
      </c>
      <c r="E40" s="18"/>
      <c r="F40" s="18">
        <v>7.7748009330243804</v>
      </c>
    </row>
    <row r="41" spans="1:6" x14ac:dyDescent="0.15">
      <c r="A41" s="21"/>
      <c r="B41" s="31" t="s">
        <v>20</v>
      </c>
      <c r="C41" s="32" t="s">
        <v>12</v>
      </c>
      <c r="D41" s="17">
        <v>76.358046629000398</v>
      </c>
      <c r="E41" s="17"/>
      <c r="F41" s="17">
        <v>61.7896196870133</v>
      </c>
    </row>
    <row r="42" spans="1:6" x14ac:dyDescent="0.15">
      <c r="A42" s="21"/>
      <c r="B42" s="21"/>
      <c r="C42" s="23" t="s">
        <v>13</v>
      </c>
      <c r="D42" s="17">
        <v>37.570265477057497</v>
      </c>
      <c r="E42" s="17"/>
      <c r="F42" s="17">
        <v>40.060987550008498</v>
      </c>
    </row>
    <row r="43" spans="1:6" s="11" customFormat="1" x14ac:dyDescent="0.15">
      <c r="A43" s="21"/>
      <c r="B43" s="33"/>
      <c r="C43" s="30" t="s">
        <v>14</v>
      </c>
      <c r="D43" s="18">
        <v>92.053681011078794</v>
      </c>
      <c r="E43" s="18"/>
      <c r="F43" s="18">
        <v>53.267810357035998</v>
      </c>
    </row>
    <row r="44" spans="1:6" x14ac:dyDescent="0.15">
      <c r="A44" s="21"/>
      <c r="B44" s="31" t="s">
        <v>21</v>
      </c>
      <c r="C44" s="32" t="s">
        <v>15</v>
      </c>
      <c r="D44" s="17">
        <v>2.9507247160654502</v>
      </c>
      <c r="E44" s="17"/>
      <c r="F44" s="17">
        <v>3.1344263299833899</v>
      </c>
    </row>
    <row r="45" spans="1:6" x14ac:dyDescent="0.15">
      <c r="A45" s="21"/>
      <c r="B45" s="21"/>
      <c r="C45" s="23" t="s">
        <v>59</v>
      </c>
      <c r="D45" s="17">
        <v>4.6331230551004401E-3</v>
      </c>
      <c r="E45" s="17"/>
      <c r="F45" s="17">
        <v>0.15347997099161101</v>
      </c>
    </row>
    <row r="46" spans="1:6" s="11" customFormat="1" x14ac:dyDescent="0.15">
      <c r="A46" s="21"/>
      <c r="B46" s="33"/>
      <c r="C46" s="30" t="s">
        <v>63</v>
      </c>
      <c r="D46" s="18">
        <v>4.6424048559274498</v>
      </c>
      <c r="E46" s="18"/>
      <c r="F46" s="18">
        <v>13.794507298967799</v>
      </c>
    </row>
    <row r="47" spans="1:6" x14ac:dyDescent="0.15">
      <c r="A47" s="21"/>
      <c r="B47" s="21" t="s">
        <v>16</v>
      </c>
      <c r="C47" s="23" t="s">
        <v>16</v>
      </c>
      <c r="D47" s="17">
        <v>222.24066521413599</v>
      </c>
      <c r="E47" s="17"/>
      <c r="F47" s="17">
        <v>206.98031143296899</v>
      </c>
    </row>
    <row r="48" spans="1:6" x14ac:dyDescent="0.15">
      <c r="A48" s="21"/>
      <c r="B48" s="21"/>
      <c r="C48" s="23" t="s">
        <v>61</v>
      </c>
      <c r="D48" s="17">
        <v>242</v>
      </c>
      <c r="E48" s="17"/>
      <c r="F48" s="17">
        <v>286</v>
      </c>
    </row>
  </sheetData>
  <mergeCells count="18">
    <mergeCell ref="A1:C1"/>
    <mergeCell ref="A2:C2"/>
    <mergeCell ref="A3:C3"/>
    <mergeCell ref="A26:C26"/>
    <mergeCell ref="A38:A48"/>
    <mergeCell ref="B27:B29"/>
    <mergeCell ref="B30:B32"/>
    <mergeCell ref="B33:B35"/>
    <mergeCell ref="B36:B37"/>
    <mergeCell ref="B38:B40"/>
    <mergeCell ref="B41:B43"/>
    <mergeCell ref="B44:B46"/>
    <mergeCell ref="B47:B48"/>
    <mergeCell ref="A4:B7"/>
    <mergeCell ref="A8:B14"/>
    <mergeCell ref="A15:B21"/>
    <mergeCell ref="A22:B25"/>
    <mergeCell ref="A27:A37"/>
  </mergeCells>
  <phoneticPr fontId="2"/>
  <conditionalFormatting sqref="F9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{8C3D98AE-45B3-E349-AD08-7A2D2F0788DE}</x14:id>
        </ext>
      </extLst>
    </cfRule>
  </conditionalFormatting>
  <conditionalFormatting sqref="F1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{A486E733-45FB-5745-BC12-5681A8C96E8B}</x14:id>
        </ext>
      </extLst>
    </cfRule>
  </conditionalFormatting>
  <conditionalFormatting sqref="F12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{AA69FEEE-5CC1-B446-88AE-AA0DCEE32669}</x14:id>
        </ext>
      </extLst>
    </cfRule>
  </conditionalFormatting>
  <conditionalFormatting sqref="F13:F14">
    <cfRule type="dataBar" priority="67">
      <dataBar>
        <cfvo type="num" val="2"/>
        <cfvo type="max"/>
        <color rgb="FF638EC6"/>
      </dataBar>
      <extLst>
        <ext xmlns:x14="http://schemas.microsoft.com/office/spreadsheetml/2009/9/main" uri="{B025F937-C7B1-47D3-B67F-A62EFF666E3E}">
          <x14:id>{0E5A907C-C8BB-3D4F-A865-FB20618C07B8}</x14:id>
        </ext>
      </extLst>
    </cfRule>
  </conditionalFormatting>
  <conditionalFormatting sqref="F16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{7FA6673F-F21D-7945-B26F-B398F1E4F700}</x14:id>
        </ext>
      </extLst>
    </cfRule>
  </conditionalFormatting>
  <conditionalFormatting sqref="F17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{FDE0D191-AB43-2A4B-AAED-204602D73121}</x14:id>
        </ext>
      </extLst>
    </cfRule>
  </conditionalFormatting>
  <conditionalFormatting sqref="F19">
    <cfRule type="dataBar" priority="70">
      <dataBar>
        <cfvo type="num" val="7"/>
        <cfvo type="max"/>
        <color rgb="FF63C384"/>
      </dataBar>
      <extLst>
        <ext xmlns:x14="http://schemas.microsoft.com/office/spreadsheetml/2009/9/main" uri="{B025F937-C7B1-47D3-B67F-A62EFF666E3E}">
          <x14:id>{E2DEF3AB-15D6-E248-822C-F35EA5D25BC2}</x14:id>
        </ext>
      </extLst>
    </cfRule>
  </conditionalFormatting>
  <conditionalFormatting sqref="F20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{59D6ED6D-82BE-F743-9091-3995C19F06F3}</x14:id>
        </ext>
      </extLst>
    </cfRule>
  </conditionalFormatting>
  <conditionalFormatting sqref="F21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{EB06A7EE-42B8-C447-B49D-30DC6AADD363}</x14:id>
        </ext>
      </extLst>
    </cfRule>
  </conditionalFormatting>
  <conditionalFormatting sqref="F24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{3C38937B-10AE-D641-91A1-2022AB2271C8}</x14:id>
        </ext>
      </extLst>
    </cfRule>
  </conditionalFormatting>
  <conditionalFormatting sqref="F25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{28EB4E0F-7C16-0E43-B1EE-C17DE9320A66}</x14:id>
        </ext>
      </extLst>
    </cfRule>
  </conditionalFormatting>
  <conditionalFormatting sqref="A27:XFD27 A38:XFD3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{0BDA52D8-3E7E-4C70-91EE-300C4C30AA93}</x14:id>
        </ext>
      </extLst>
    </cfRule>
  </conditionalFormatting>
  <conditionalFormatting sqref="A28:XFD28 A39:XFD3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{9E678109-7150-49BE-B221-A3CFAA416250}</x14:id>
        </ext>
      </extLst>
    </cfRule>
  </conditionalFormatting>
  <conditionalFormatting sqref="A29:XFD29 A40:XFD40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{ED7249C0-7851-4FAB-A8B3-ECD1D8B07ED7}</x14:id>
        </ext>
      </extLst>
    </cfRule>
  </conditionalFormatting>
  <conditionalFormatting sqref="A30:XFD30 A41:XFD4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{17182307-9233-4527-A092-39A2AC7598BF}</x14:id>
        </ext>
      </extLst>
    </cfRule>
  </conditionalFormatting>
  <conditionalFormatting sqref="A31:XFD31 A42:XFD4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{7C48002B-3911-4813-A50C-7ECF9C19EF64}</x14:id>
        </ext>
      </extLst>
    </cfRule>
  </conditionalFormatting>
  <conditionalFormatting sqref="A32:XFD32 A43:XFD4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{7FCA8C0A-0AB4-40CA-BFDA-384E8E98208C}</x14:id>
        </ext>
      </extLst>
    </cfRule>
  </conditionalFormatting>
  <conditionalFormatting sqref="A33:XFD33 A44:XFD4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{BE90834B-BCE9-4D8B-94C3-8DF5CA7B319C}</x14:id>
        </ext>
      </extLst>
    </cfRule>
  </conditionalFormatting>
  <conditionalFormatting sqref="A34:XFD34 A45:XFD4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{34C9D91D-6812-4B52-B085-D4926ED94F46}</x14:id>
        </ext>
      </extLst>
    </cfRule>
  </conditionalFormatting>
  <conditionalFormatting sqref="A35:XFD35 A46:XFD46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{C4B37561-E21A-469F-9264-28F346513E2D}</x14:id>
        </ext>
      </extLst>
    </cfRule>
  </conditionalFormatting>
  <conditionalFormatting sqref="A36:XFD36 A47:XFD4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{A795A94A-D359-4C20-8F8C-4E6E44939444}</x14:id>
        </ext>
      </extLst>
    </cfRule>
  </conditionalFormatting>
  <conditionalFormatting sqref="A37:XFD37 A48:XFD48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{ED0BF0BD-0D7F-4B28-A5CF-75980B2566B9}</x14:id>
        </ext>
      </extLst>
    </cfRule>
  </conditionalFormatting>
  <conditionalFormatting sqref="A23:XFD2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{185488EA-EF2F-484D-9735-35F3064F04C6}</x14:id>
        </ext>
      </extLst>
    </cfRule>
  </conditionalFormatting>
  <conditionalFormatting sqref="A36:XFD37 A47:XFD48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{BEB72EB6-2FCA-4E6B-A21F-E30D0356FAF7}</x14:id>
        </ext>
      </extLst>
    </cfRule>
  </conditionalFormatting>
  <conditionalFormatting sqref="A9:D9 F9:XFD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{55209318-E838-45D7-997A-AE33FDFF309F}</x14:id>
        </ext>
      </extLst>
    </cfRule>
  </conditionalFormatting>
  <conditionalFormatting sqref="A10:D10 F10:XFD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{FF35AB45-1B56-4C79-838D-8C6C45297D4C}</x14:id>
        </ext>
      </extLst>
    </cfRule>
  </conditionalFormatting>
  <conditionalFormatting sqref="A12:D12 F12:XFD1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{5709ABDC-9BD0-48E9-A6AB-106C154A8CEB}</x14:id>
        </ext>
      </extLst>
    </cfRule>
  </conditionalFormatting>
  <conditionalFormatting sqref="A13:D14 F13:XFD1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{9786495F-8BC4-419E-9CB8-5224A93AE4AE}</x14:id>
        </ext>
      </extLst>
    </cfRule>
  </conditionalFormatting>
  <conditionalFormatting sqref="A9:D9 A16:D16 F16:XFD16 F9:XFD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{8F84E390-EA54-4044-A0D1-BD858D211D1C}</x14:id>
        </ext>
      </extLst>
    </cfRule>
  </conditionalFormatting>
  <conditionalFormatting sqref="A10:D10 A17:D17 F17:XFD17 F10:XFD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{2648E629-B128-40E0-9430-3910149B879A}</x14:id>
        </ext>
      </extLst>
    </cfRule>
  </conditionalFormatting>
  <conditionalFormatting sqref="A19:D19 F19:XFD1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{9EC12AEF-9FE7-4A07-8127-10331FB9F457}</x14:id>
        </ext>
      </extLst>
    </cfRule>
  </conditionalFormatting>
  <conditionalFormatting sqref="A20:D20 F20:XFD2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{F8E4DB01-292B-4098-852F-53E74F090B09}</x14:id>
        </ext>
      </extLst>
    </cfRule>
  </conditionalFormatting>
  <conditionalFormatting sqref="A21:D21 F21:XFD2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{610D2D63-4D68-49B7-8423-BF90A16E1825}</x14:id>
        </ext>
      </extLst>
    </cfRule>
  </conditionalFormatting>
  <conditionalFormatting sqref="A24:D24 F24:XFD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{4D97FA75-76F6-4FF5-894D-D8F085836ADA}</x14:id>
        </ext>
      </extLst>
    </cfRule>
  </conditionalFormatting>
  <conditionalFormatting sqref="A25:D25 F25:XFD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{D52F8789-0951-42AE-89B8-918393A72370}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3D98AE-45B3-E349-AD08-7A2D2F0788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  <x14:conditionalFormatting xmlns:xm="http://schemas.microsoft.com/office/excel/2006/main">
          <x14:cfRule type="dataBar" id="{A486E733-45FB-5745-BC12-5681A8C96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  <x14:conditionalFormatting xmlns:xm="http://schemas.microsoft.com/office/excel/2006/main">
          <x14:cfRule type="dataBar" id="{AA69FEEE-5CC1-B446-88AE-AA0DCEE32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F12</xm:sqref>
        </x14:conditionalFormatting>
        <x14:conditionalFormatting xmlns:xm="http://schemas.microsoft.com/office/excel/2006/main">
          <x14:cfRule type="dataBar" id="{0E5A907C-C8BB-3D4F-A865-FB20618C07B8}">
            <x14:dataBar minLength="0" maxLength="100" border="1" negativeBarBorderColorSameAsPositive="0">
              <x14:cfvo type="num">
                <xm:f>2</xm:f>
              </x14:cfvo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F13:F14</xm:sqref>
        </x14:conditionalFormatting>
        <x14:conditionalFormatting xmlns:xm="http://schemas.microsoft.com/office/excel/2006/main">
          <x14:cfRule type="dataBar" id="{7FA6673F-F21D-7945-B26F-B398F1E4F7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</xm:sqref>
        </x14:conditionalFormatting>
        <x14:conditionalFormatting xmlns:xm="http://schemas.microsoft.com/office/excel/2006/main">
          <x14:cfRule type="dataBar" id="{FDE0D191-AB43-2A4B-AAED-204602D731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E2DEF3AB-15D6-E248-822C-F35EA5D25BC2}">
            <x14:dataBar minLength="0" maxLength="100" border="1" negativeBarBorderColorSameAsPositive="0">
              <x14:cfvo type="num">
                <xm:f>7</xm:f>
              </x14:cfvo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</xm:sqref>
        </x14:conditionalFormatting>
        <x14:conditionalFormatting xmlns:xm="http://schemas.microsoft.com/office/excel/2006/main">
          <x14:cfRule type="dataBar" id="{59D6ED6D-82BE-F743-9091-3995C19F06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EB06A7EE-42B8-C447-B49D-30DC6AADD3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3C38937B-10AE-D641-91A1-2022AB227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28EB4E0F-7C16-0E43-B1EE-C17DE9320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F25</xm:sqref>
        </x14:conditionalFormatting>
        <x14:conditionalFormatting xmlns:xm="http://schemas.microsoft.com/office/excel/2006/main">
          <x14:cfRule type="dataBar" id="{0BDA52D8-3E7E-4C70-91EE-300C4C30AA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A27:XFD27 A38:XFD38</xm:sqref>
        </x14:conditionalFormatting>
        <x14:conditionalFormatting xmlns:xm="http://schemas.microsoft.com/office/excel/2006/main">
          <x14:cfRule type="dataBar" id="{9E678109-7150-49BE-B221-A3CFAA4162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A28:XFD28 A39:XFD39</xm:sqref>
        </x14:conditionalFormatting>
        <x14:conditionalFormatting xmlns:xm="http://schemas.microsoft.com/office/excel/2006/main">
          <x14:cfRule type="dataBar" id="{ED7249C0-7851-4FAB-A8B3-ECD1D8B07E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A29:XFD29 A40:XFD40</xm:sqref>
        </x14:conditionalFormatting>
        <x14:conditionalFormatting xmlns:xm="http://schemas.microsoft.com/office/excel/2006/main">
          <x14:cfRule type="dataBar" id="{17182307-9233-4527-A092-39A2AC7598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A30:XFD30 A41:XFD41</xm:sqref>
        </x14:conditionalFormatting>
        <x14:conditionalFormatting xmlns:xm="http://schemas.microsoft.com/office/excel/2006/main">
          <x14:cfRule type="dataBar" id="{7C48002B-3911-4813-A50C-7ECF9C19EF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A31:XFD31 A42:XFD42</xm:sqref>
        </x14:conditionalFormatting>
        <x14:conditionalFormatting xmlns:xm="http://schemas.microsoft.com/office/excel/2006/main">
          <x14:cfRule type="dataBar" id="{7FCA8C0A-0AB4-40CA-BFDA-384E8E9820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A32:XFD32 A43:XFD43</xm:sqref>
        </x14:conditionalFormatting>
        <x14:conditionalFormatting xmlns:xm="http://schemas.microsoft.com/office/excel/2006/main">
          <x14:cfRule type="dataBar" id="{BE90834B-BCE9-4D8B-94C3-8DF5CA7B3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A33:XFD33 A44:XFD44</xm:sqref>
        </x14:conditionalFormatting>
        <x14:conditionalFormatting xmlns:xm="http://schemas.microsoft.com/office/excel/2006/main">
          <x14:cfRule type="dataBar" id="{34C9D91D-6812-4B52-B085-D4926ED94F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A34:XFD34 A45:XFD45</xm:sqref>
        </x14:conditionalFormatting>
        <x14:conditionalFormatting xmlns:xm="http://schemas.microsoft.com/office/excel/2006/main">
          <x14:cfRule type="dataBar" id="{C4B37561-E21A-469F-9264-28F346513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A35:XFD35 A46:XFD46</xm:sqref>
        </x14:conditionalFormatting>
        <x14:conditionalFormatting xmlns:xm="http://schemas.microsoft.com/office/excel/2006/main">
          <x14:cfRule type="dataBar" id="{A795A94A-D359-4C20-8F8C-4E6E449394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A36:XFD36 A47:XFD47</xm:sqref>
        </x14:conditionalFormatting>
        <x14:conditionalFormatting xmlns:xm="http://schemas.microsoft.com/office/excel/2006/main">
          <x14:cfRule type="dataBar" id="{ED0BF0BD-0D7F-4B28-A5CF-75980B2566B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A37:XFD37 A48:XFD48</xm:sqref>
        </x14:conditionalFormatting>
        <x14:conditionalFormatting xmlns:xm="http://schemas.microsoft.com/office/excel/2006/main">
          <x14:cfRule type="dataBar" id="{185488EA-EF2F-484D-9735-35F3064F04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A23:XFD23</xm:sqref>
        </x14:conditionalFormatting>
        <x14:conditionalFormatting xmlns:xm="http://schemas.microsoft.com/office/excel/2006/main">
          <x14:cfRule type="dataBar" id="{BEB72EB6-2FCA-4E6B-A21F-E30D0356FA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A36:XFD37 A47:XFD48</xm:sqref>
        </x14:conditionalFormatting>
        <x14:conditionalFormatting xmlns:xm="http://schemas.microsoft.com/office/excel/2006/main">
          <x14:cfRule type="dataBar" id="{55209318-E838-45D7-997A-AE33FDFF30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A9:D9 F9:XFD9</xm:sqref>
        </x14:conditionalFormatting>
        <x14:conditionalFormatting xmlns:xm="http://schemas.microsoft.com/office/excel/2006/main">
          <x14:cfRule type="dataBar" id="{FF35AB45-1B56-4C79-838D-8C6C45297D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A10:D10 F10:XFD10</xm:sqref>
        </x14:conditionalFormatting>
        <x14:conditionalFormatting xmlns:xm="http://schemas.microsoft.com/office/excel/2006/main">
          <x14:cfRule type="dataBar" id="{5709ABDC-9BD0-48E9-A6AB-106C154A8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A12:D12 F12:XFD12</xm:sqref>
        </x14:conditionalFormatting>
        <x14:conditionalFormatting xmlns:xm="http://schemas.microsoft.com/office/excel/2006/main">
          <x14:cfRule type="dataBar" id="{9786495F-8BC4-419E-9CB8-5224A93AE4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A13:D14 F13:XFD14</xm:sqref>
        </x14:conditionalFormatting>
        <x14:conditionalFormatting xmlns:xm="http://schemas.microsoft.com/office/excel/2006/main">
          <x14:cfRule type="dataBar" id="{8F84E390-EA54-4044-A0D1-BD858D211D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A9:D9 A16:D16 F16:XFD16 F9:XFD9</xm:sqref>
        </x14:conditionalFormatting>
        <x14:conditionalFormatting xmlns:xm="http://schemas.microsoft.com/office/excel/2006/main">
          <x14:cfRule type="dataBar" id="{2648E629-B128-40E0-9430-3910149B8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A10:D10 A17:D17 F17:XFD17 F10:XFD10</xm:sqref>
        </x14:conditionalFormatting>
        <x14:conditionalFormatting xmlns:xm="http://schemas.microsoft.com/office/excel/2006/main">
          <x14:cfRule type="dataBar" id="{9EC12AEF-9FE7-4A07-8127-10331FB9F4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A19:D19 F19:XFD19</xm:sqref>
        </x14:conditionalFormatting>
        <x14:conditionalFormatting xmlns:xm="http://schemas.microsoft.com/office/excel/2006/main">
          <x14:cfRule type="dataBar" id="{F8E4DB01-292B-4098-852F-53E74F090B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A20:D20 F20:XFD20</xm:sqref>
        </x14:conditionalFormatting>
        <x14:conditionalFormatting xmlns:xm="http://schemas.microsoft.com/office/excel/2006/main">
          <x14:cfRule type="dataBar" id="{610D2D63-4D68-49B7-8423-BF90A16E18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A21:D21 F21:XFD21</xm:sqref>
        </x14:conditionalFormatting>
        <x14:conditionalFormatting xmlns:xm="http://schemas.microsoft.com/office/excel/2006/main">
          <x14:cfRule type="dataBar" id="{4D97FA75-76F6-4FF5-894D-D8F085836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A24:D24 F24:XFD24</xm:sqref>
        </x14:conditionalFormatting>
        <x14:conditionalFormatting xmlns:xm="http://schemas.microsoft.com/office/excel/2006/main">
          <x14:cfRule type="dataBar" id="{D52F8789-0951-42AE-89B8-918393A72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A25:D25 F25:XFD25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NARA INSTITUTE of SCIENSE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Otake Yoshito</dc:creator>
  <cp:lastModifiedBy>Yi Gu</cp:lastModifiedBy>
  <dcterms:created xsi:type="dcterms:W3CDTF">2025-10-22T20:34:23Z</dcterms:created>
  <dcterms:modified xsi:type="dcterms:W3CDTF">2025-12-14T22:11:18Z</dcterms:modified>
</cp:coreProperties>
</file>