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0DD623C9-D3C0-49FC-BA58-D168E965E29F}" xr6:coauthVersionLast="47" xr6:coauthVersionMax="47" xr10:uidLastSave="{00000000-0000-0000-0000-000000000000}"/>
  <bookViews>
    <workbookView xWindow="-110" yWindow="-110" windowWidth="38620" windowHeight="2110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I10" i="1"/>
  <c r="L17" i="1"/>
  <c r="L10" i="1"/>
  <c r="J10" i="1"/>
  <c r="J17" i="1"/>
  <c r="D17" i="1"/>
  <c r="D10" i="1"/>
  <c r="F17" i="1"/>
  <c r="F10" i="1"/>
</calcChain>
</file>

<file path=xl/sharedStrings.xml><?xml version="1.0" encoding="utf-8"?>
<sst xmlns="http://schemas.openxmlformats.org/spreadsheetml/2006/main" count="244" uniqueCount="88">
  <si>
    <t>OS</t>
    <phoneticPr fontId="1"/>
  </si>
  <si>
    <t>GPU model</t>
    <phoneticPr fontId="1"/>
  </si>
  <si>
    <t>Person in charge</t>
    <phoneticPr fontId="1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</si>
  <si>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</si>
  <si>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</si>
  <si>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</si>
  <si>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</si>
  <si>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</si>
  <si>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</si>
  <si>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</si>
  <si>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</si>
  <si>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</si>
  <si>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</si>
  <si>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</si>
  <si>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</si>
  <si>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</si>
  <si>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</si>
  <si>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</si>
  <si>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</si>
  <si>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</si>
  <si>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</si>
  <si>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</si>
  <si>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</si>
  <si>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</si>
  <si>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</si>
  <si>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</si>
  <si>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</si>
  <si>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</si>
  <si>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</si>
  <si>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</si>
  <si>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</si>
  <si>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2018/9</t>
  </si>
  <si>
    <t>SATA HDD</t>
  </si>
  <si>
    <t>NVMe SSD</t>
  </si>
  <si>
    <t>Singularity</t>
  </si>
  <si>
    <t>Intel Xeon CPU E5-1650 v4</t>
  </si>
  <si>
    <t>Machine 1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</si>
  <si>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</si>
  <si>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</si>
  <si>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</si>
  <si>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</si>
  <si>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</si>
  <si>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</si>
  <si>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</si>
  <si>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</si>
  <si>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</si>
  <si>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</si>
  <si>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</si>
  <si>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</si>
  <si>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</si>
  <si>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</si>
  <si>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</si>
  <si>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</si>
  <si>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</si>
  <si>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</si>
  <si>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</si>
  <si>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</si>
  <si>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</si>
  <si>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</si>
  <si>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</si>
  <si>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</si>
  <si>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</si>
  <si>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/</t>
  </si>
  <si>
    <t>2017/2</t>
  </si>
  <si>
    <t>Intel Xeon w5-2455X</t>
  </si>
  <si>
    <t>2023/9</t>
  </si>
  <si>
    <t>Sever</t>
  </si>
  <si>
    <t>SATA SSD</t>
  </si>
  <si>
    <t>Machine 2 (devonrex)</t>
  </si>
  <si>
    <t>AMD EPYC 9454</t>
  </si>
  <si>
    <t>2022/11</t>
  </si>
  <si>
    <t>2022/12</t>
  </si>
  <si>
    <t>Machine3 (orange)</t>
  </si>
  <si>
    <t>Machine 4 (toyger)</t>
  </si>
  <si>
    <t>Machine 5 (pampascat)</t>
  </si>
  <si>
    <t>Laptop</t>
  </si>
  <si>
    <t>Windows 11 Pro</t>
  </si>
  <si>
    <t>Intel Core i9-13980HX</t>
  </si>
  <si>
    <t>2023/1</t>
  </si>
  <si>
    <t>RTX 4090 Laptop</t>
  </si>
  <si>
    <t>RTX 2080ti</t>
  </si>
  <si>
    <t>RTX 1080ti</t>
  </si>
  <si>
    <t>RTX A4500 Ada</t>
  </si>
  <si>
    <t>RTX A6000 Ada</t>
  </si>
  <si>
    <t>Cleanning labelmap</t>
  </si>
  <si>
    <t>RTX 3090</t>
  </si>
  <si>
    <t>2020/9</t>
  </si>
  <si>
    <t>Machine 3 (chicat)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</si>
</sst>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rgb="FFC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4" fillId="3" borderId="0" xfId="2" applyAlignment="1">
      <alignment horizontal="center" vertical="center"/>
    </xf>
    <xf numFmtId="0" fontId="4" fillId="3" borderId="0" xfId="2" applyAlignment="1">
      <alignment horizontal="center" vertical="center" wrapText="1"/>
    </xf>
    <xf numFmtId="0" fontId="3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5" fillId="4" borderId="0" xfId="3" applyAlignment="1">
      <alignment horizontal="center" vertical="center"/>
    </xf>
    <xf numFmtId="0" fontId="3" fillId="2" borderId="4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4" xfId="0" applyFont="1" applyBorder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N50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G22" sqref="G22"/>
    </sheetView>
  </sheetViews>
  <sheetFormatPr defaultColWidth="8.90625" defaultRowHeight="14.5" x14ac:dyDescent="0.2"/>
  <cols>
    <col min="1" max="1" width="13.08984375" style="21" customWidth="1"/>
    <col min="2" max="2" width="8.36328125" style="21" customWidth="1"/>
    <col min="3" max="3" width="22.26953125" style="21" customWidth="1"/>
    <col min="4" max="31" width="24" customWidth="1"/>
  </cols>
  <sheetData>
    <row r="1" spans="1:14" s="21" customFormat="1" x14ac:dyDescent="0.2">
      <c r="A1" s="27"/>
      <c r="B1" s="27"/>
      <c r="C1" s="27"/>
      <c r="D1" s="20" t="s">
        <v>36</v>
      </c>
      <c r="E1" s="1" t="s">
        <v>60</v>
      </c>
      <c r="F1" s="20" t="s">
        <v>68</v>
      </c>
      <c r="G1" s="20" t="s">
        <v>87</v>
      </c>
      <c r="H1" s="1" t="s">
        <v>60</v>
      </c>
      <c r="I1" s="20" t="s">
        <v>72</v>
      </c>
      <c r="J1" s="20" t="s">
        <v>73</v>
      </c>
      <c r="K1" s="1" t="s">
        <v>60</v>
      </c>
      <c r="L1" s="20" t="s">
        <v>74</v>
      </c>
      <c r="M1" s="1" t="s">
        <v>60</v>
      </c>
      <c r="N1" s="1" t="s">
        <v>60</v>
      </c>
    </row>
    <row r="2" spans="1:14" s="20" customFormat="1" ht="15" thickBot="1" x14ac:dyDescent="0.25">
      <c r="A2" s="33" t="s">
        <v>2</v>
      </c>
      <c r="B2" s="33"/>
      <c r="C2" s="33"/>
      <c r="D2" s="20" t="s">
        <v>3</v>
      </c>
      <c r="E2" s="1" t="s">
        <v>60</v>
      </c>
      <c r="F2" s="20" t="s">
        <v>3</v>
      </c>
      <c r="G2" s="20" t="s">
        <v>3</v>
      </c>
      <c r="H2" s="1" t="s">
        <v>60</v>
      </c>
      <c r="I2" s="20" t="s">
        <v>3</v>
      </c>
      <c r="J2" s="20" t="s">
        <v>3</v>
      </c>
      <c r="K2" s="1" t="s">
        <v>60</v>
      </c>
      <c r="L2" s="20" t="s">
        <v>3</v>
      </c>
      <c r="M2" s="1" t="s">
        <v>60</v>
      </c>
      <c r="N2" s="1" t="s">
        <v>60</v>
      </c>
    </row>
    <row r="3" spans="1:14" s="5" customFormat="1" ht="15" thickBot="1" x14ac:dyDescent="0.25">
      <c r="A3" s="34" t="s">
        <v>8</v>
      </c>
      <c r="B3" s="34"/>
      <c r="C3" s="34"/>
      <c r="D3" s="9"/>
      <c r="E3" s="9"/>
      <c r="F3" s="4"/>
      <c r="G3" s="4"/>
      <c r="I3" s="4"/>
    </row>
    <row r="4" spans="1:14" s="1" customFormat="1" ht="15.75" customHeight="1" thickTop="1" x14ac:dyDescent="0.2">
      <c r="A4" s="32" t="s">
        <v>23</v>
      </c>
      <c r="B4" s="32"/>
      <c r="C4" s="22" t="s">
        <v>7</v>
      </c>
      <c r="D4" s="18" t="s">
        <v>24</v>
      </c>
      <c r="E4" s="1" t="s">
        <v>60</v>
      </c>
      <c r="F4" s="18" t="s">
        <v>24</v>
      </c>
      <c r="G4" s="18" t="s">
        <v>24</v>
      </c>
      <c r="H4" s="1" t="s">
        <v>60</v>
      </c>
      <c r="I4" s="13" t="s">
        <v>75</v>
      </c>
      <c r="J4" s="18" t="s">
        <v>24</v>
      </c>
      <c r="K4" s="1" t="s">
        <v>60</v>
      </c>
      <c r="L4" s="15" t="s">
        <v>66</v>
      </c>
      <c r="M4" s="1" t="s">
        <v>60</v>
      </c>
      <c r="N4" s="1" t="s">
        <v>60</v>
      </c>
    </row>
    <row r="5" spans="1:14" s="1" customFormat="1" x14ac:dyDescent="0.2">
      <c r="A5" s="26"/>
      <c r="B5" s="26"/>
      <c r="C5" s="21" t="s">
        <v>0</v>
      </c>
      <c r="D5" s="15" t="s">
        <v>26</v>
      </c>
      <c r="E5" s="1" t="s">
        <v>60</v>
      </c>
      <c r="F5" s="14" t="s">
        <v>25</v>
      </c>
      <c r="G5" s="15" t="s">
        <v>26</v>
      </c>
      <c r="H5" s="1" t="s">
        <v>60</v>
      </c>
      <c r="I5" s="14" t="s">
        <v>76</v>
      </c>
      <c r="J5" s="15" t="s">
        <v>26</v>
      </c>
      <c r="K5" s="1" t="s">
        <v>60</v>
      </c>
      <c r="L5" s="15" t="s">
        <v>26</v>
      </c>
      <c r="M5" s="1" t="s">
        <v>60</v>
      </c>
      <c r="N5" s="1" t="s">
        <v>60</v>
      </c>
    </row>
    <row r="6" spans="1:14" s="1" customFormat="1" x14ac:dyDescent="0.2">
      <c r="A6" s="26"/>
      <c r="B6" s="26"/>
      <c r="C6" s="21" t="s">
        <v>27</v>
      </c>
      <c r="D6" s="15" t="s">
        <v>34</v>
      </c>
      <c r="E6" s="1" t="s">
        <v>60</v>
      </c>
      <c r="F6" s="13" t="s">
        <v>28</v>
      </c>
      <c r="G6" s="15" t="s">
        <v>34</v>
      </c>
      <c r="H6" s="1" t="s">
        <v>60</v>
      </c>
      <c r="I6" s="13" t="s">
        <v>28</v>
      </c>
      <c r="J6" s="15" t="s">
        <v>34</v>
      </c>
      <c r="K6" s="1" t="s">
        <v>60</v>
      </c>
      <c r="L6" s="15" t="s">
        <v>34</v>
      </c>
      <c r="M6" s="1" t="s">
        <v>60</v>
      </c>
      <c r="N6" s="1" t="s">
        <v>60</v>
      </c>
    </row>
    <row r="7" spans="1:14" s="12" customFormat="1" x14ac:dyDescent="0.2">
      <c r="A7" s="35"/>
      <c r="B7" s="35"/>
      <c r="C7" s="23" t="s">
        <v>37</v>
      </c>
      <c r="D7" s="19" t="s">
        <v>26</v>
      </c>
      <c r="E7" s="12" t="s">
        <v>60</v>
      </c>
      <c r="F7" s="19" t="s">
        <v>26</v>
      </c>
      <c r="G7" s="19" t="s">
        <v>26</v>
      </c>
      <c r="H7" s="12" t="s">
        <v>60</v>
      </c>
      <c r="I7" s="19" t="s">
        <v>26</v>
      </c>
      <c r="J7" s="19" t="s">
        <v>26</v>
      </c>
      <c r="K7" s="12" t="s">
        <v>60</v>
      </c>
      <c r="L7" s="19" t="s">
        <v>26</v>
      </c>
      <c r="M7" s="12" t="s">
        <v>60</v>
      </c>
      <c r="N7" s="12" t="s">
        <v>60</v>
      </c>
    </row>
    <row r="8" spans="1:14" s="1" customFormat="1" x14ac:dyDescent="0.2">
      <c r="A8" s="30" t="s">
        <v>9</v>
      </c>
      <c r="B8" s="30"/>
      <c r="C8" s="21" t="s">
        <v>5</v>
      </c>
      <c r="D8" s="1" t="s">
        <v>35</v>
      </c>
      <c r="E8" s="1" t="s">
        <v>60</v>
      </c>
      <c r="F8" s="2" t="s">
        <v>29</v>
      </c>
      <c r="G8" s="2"/>
      <c r="H8" s="1" t="s">
        <v>60</v>
      </c>
      <c r="I8" s="2" t="s">
        <v>77</v>
      </c>
      <c r="J8" s="1" t="s">
        <v>64</v>
      </c>
      <c r="K8" s="1" t="s">
        <v>60</v>
      </c>
      <c r="L8" s="1" t="s">
        <v>69</v>
      </c>
      <c r="M8" s="1" t="s">
        <v>60</v>
      </c>
      <c r="N8" s="1" t="s">
        <v>60</v>
      </c>
    </row>
    <row r="9" spans="1:14" s="1" customFormat="1" x14ac:dyDescent="0.2">
      <c r="A9" s="27"/>
      <c r="B9" s="27"/>
      <c r="C9" s="21" t="s">
        <v>38</v>
      </c>
      <c r="D9" s="7">
        <v>621</v>
      </c>
      <c r="E9" s="1" t="s">
        <v>60</v>
      </c>
      <c r="F9" s="7">
        <v>1399</v>
      </c>
      <c r="G9" s="7"/>
      <c r="H9" s="1" t="s">
        <v>60</v>
      </c>
      <c r="I9" s="7">
        <v>668</v>
      </c>
      <c r="J9" s="7">
        <v>1039</v>
      </c>
      <c r="K9" s="1" t="s">
        <v>60</v>
      </c>
      <c r="L9" s="7">
        <v>5225</v>
      </c>
      <c r="M9" s="1" t="s">
        <v>60</v>
      </c>
      <c r="N9" s="1" t="s">
        <v>60</v>
      </c>
    </row>
    <row r="10" spans="1:14" s="1" customFormat="1" x14ac:dyDescent="0.2">
      <c r="A10" s="27"/>
      <c r="B10" s="27"/>
      <c r="C10" s="21" t="s">
        <v>39</v>
      </c>
      <c r="D10" s="8">
        <f>D9*155.9</f>
        <v>96813.900000000009</v>
      </c>
      <c r="E10" s="1" t="s">
        <v>60</v>
      </c>
      <c r="F10" s="8">
        <f>F9*155.9</f>
        <v>218104.1</v>
      </c>
      <c r="G10" s="8"/>
      <c r="H10" s="1" t="s">
        <v>60</v>
      </c>
      <c r="I10" s="8">
        <f>I9*155.9</f>
        <v>104141.2</v>
      </c>
      <c r="J10" s="8">
        <f>J9*155.9</f>
        <v>161980.1</v>
      </c>
      <c r="K10" s="1" t="s">
        <v>60</v>
      </c>
      <c r="L10" s="8">
        <f>L9*155.9</f>
        <v>814577.5</v>
      </c>
      <c r="M10" s="1" t="s">
        <v>60</v>
      </c>
      <c r="N10" s="1" t="s">
        <v>60</v>
      </c>
    </row>
    <row r="11" spans="1:14" s="1" customFormat="1" x14ac:dyDescent="0.2">
      <c r="A11" s="27"/>
      <c r="B11" s="27"/>
      <c r="C11" s="21" t="s">
        <v>40</v>
      </c>
      <c r="D11" s="1" t="s">
        <v>61</v>
      </c>
      <c r="E11" s="1" t="s">
        <v>60</v>
      </c>
      <c r="F11" s="3" t="s">
        <v>30</v>
      </c>
      <c r="G11" s="3"/>
      <c r="H11" s="1" t="s">
        <v>60</v>
      </c>
      <c r="I11" s="3" t="s">
        <v>78</v>
      </c>
      <c r="J11" s="1" t="s">
        <v>30</v>
      </c>
      <c r="K11" s="1" t="s">
        <v>60</v>
      </c>
      <c r="L11" s="1" t="s">
        <v>70</v>
      </c>
      <c r="M11" s="1" t="s">
        <v>60</v>
      </c>
      <c r="N11" s="1" t="s">
        <v>60</v>
      </c>
    </row>
    <row r="12" spans="1:14" s="1" customFormat="1" x14ac:dyDescent="0.2">
      <c r="A12" s="27"/>
      <c r="B12" s="27"/>
      <c r="C12" s="21" t="s">
        <v>41</v>
      </c>
      <c r="D12" s="1">
        <v>6</v>
      </c>
      <c r="E12" s="1" t="s">
        <v>60</v>
      </c>
      <c r="F12" s="2">
        <v>16</v>
      </c>
      <c r="G12" s="2"/>
      <c r="H12" s="1" t="s">
        <v>60</v>
      </c>
      <c r="I12" s="2">
        <v>32</v>
      </c>
      <c r="J12" s="1">
        <v>24</v>
      </c>
      <c r="K12" s="1" t="s">
        <v>60</v>
      </c>
      <c r="L12" s="1">
        <v>48</v>
      </c>
      <c r="M12" s="1" t="s">
        <v>60</v>
      </c>
      <c r="N12" s="1" t="s">
        <v>60</v>
      </c>
    </row>
    <row r="13" spans="1:14" s="1" customFormat="1" x14ac:dyDescent="0.2">
      <c r="A13" s="27"/>
      <c r="B13" s="27"/>
      <c r="C13" s="21" t="s">
        <v>42</v>
      </c>
      <c r="D13" s="1">
        <v>3.6</v>
      </c>
      <c r="E13" s="1" t="s">
        <v>60</v>
      </c>
      <c r="F13" s="2">
        <v>3.1</v>
      </c>
      <c r="G13" s="2"/>
      <c r="H13" s="1" t="s">
        <v>60</v>
      </c>
      <c r="I13" s="2">
        <v>2.2000000000000002</v>
      </c>
      <c r="J13" s="1">
        <v>3.2</v>
      </c>
      <c r="K13" s="1" t="s">
        <v>60</v>
      </c>
      <c r="L13" s="1">
        <v>2.75</v>
      </c>
      <c r="M13" s="1" t="s">
        <v>60</v>
      </c>
      <c r="N13" s="1" t="s">
        <v>60</v>
      </c>
    </row>
    <row r="14" spans="1:14" s="12" customFormat="1" x14ac:dyDescent="0.2">
      <c r="A14" s="29"/>
      <c r="B14" s="29"/>
      <c r="C14" s="23" t="s">
        <v>43</v>
      </c>
      <c r="D14" s="12">
        <v>4</v>
      </c>
      <c r="E14" s="12" t="s">
        <v>60</v>
      </c>
      <c r="F14" s="10">
        <v>4.7</v>
      </c>
      <c r="G14" s="10"/>
      <c r="H14" s="12" t="s">
        <v>60</v>
      </c>
      <c r="I14" s="10">
        <v>5.6</v>
      </c>
      <c r="J14" s="12">
        <v>4.5999999999999996</v>
      </c>
      <c r="K14" s="12" t="s">
        <v>60</v>
      </c>
      <c r="L14" s="12">
        <v>3.8</v>
      </c>
      <c r="M14" s="12" t="s">
        <v>60</v>
      </c>
      <c r="N14" s="12" t="s">
        <v>60</v>
      </c>
    </row>
    <row r="15" spans="1:14" s="1" customFormat="1" x14ac:dyDescent="0.2">
      <c r="A15" s="30" t="s">
        <v>10</v>
      </c>
      <c r="B15" s="30"/>
      <c r="C15" s="21" t="s">
        <v>1</v>
      </c>
      <c r="D15" s="1" t="s">
        <v>81</v>
      </c>
      <c r="E15" s="1" t="s">
        <v>60</v>
      </c>
      <c r="F15" s="2" t="s">
        <v>80</v>
      </c>
      <c r="G15" s="2" t="s">
        <v>85</v>
      </c>
      <c r="H15" s="1" t="s">
        <v>60</v>
      </c>
      <c r="I15" s="2" t="s">
        <v>79</v>
      </c>
      <c r="J15" s="1" t="s">
        <v>82</v>
      </c>
      <c r="K15" s="1" t="s">
        <v>60</v>
      </c>
      <c r="L15" s="1" t="s">
        <v>83</v>
      </c>
      <c r="M15" s="1" t="s">
        <v>60</v>
      </c>
      <c r="N15" s="1" t="s">
        <v>60</v>
      </c>
    </row>
    <row r="16" spans="1:14" s="1" customFormat="1" x14ac:dyDescent="0.2">
      <c r="A16" s="27"/>
      <c r="B16" s="27"/>
      <c r="C16" s="21" t="s">
        <v>44</v>
      </c>
      <c r="D16" s="7">
        <v>699</v>
      </c>
      <c r="E16" s="1" t="s">
        <v>60</v>
      </c>
      <c r="F16" s="7">
        <v>999</v>
      </c>
      <c r="G16" s="7">
        <v>1499</v>
      </c>
      <c r="H16" s="1" t="s">
        <v>60</v>
      </c>
      <c r="I16" s="7" t="s">
        <v>62</v>
      </c>
      <c r="J16" s="7">
        <v>2250</v>
      </c>
      <c r="K16" s="1" t="s">
        <v>60</v>
      </c>
      <c r="L16" s="7">
        <v>6799</v>
      </c>
      <c r="M16" s="1" t="s">
        <v>60</v>
      </c>
      <c r="N16" s="1" t="s">
        <v>60</v>
      </c>
    </row>
    <row r="17" spans="1:14" s="1" customFormat="1" x14ac:dyDescent="0.2">
      <c r="A17" s="27"/>
      <c r="B17" s="27"/>
      <c r="C17" s="21" t="s">
        <v>45</v>
      </c>
      <c r="D17" s="8">
        <f>D16*155.9</f>
        <v>108974.1</v>
      </c>
      <c r="E17" s="1" t="s">
        <v>60</v>
      </c>
      <c r="F17" s="8">
        <f>F16*155.9</f>
        <v>155744.1</v>
      </c>
      <c r="G17" s="8">
        <f>G16*155.9</f>
        <v>233694.1</v>
      </c>
      <c r="H17" s="1" t="s">
        <v>60</v>
      </c>
      <c r="I17" s="8" t="s">
        <v>62</v>
      </c>
      <c r="J17" s="8">
        <f>J16*155.9</f>
        <v>350775</v>
      </c>
      <c r="K17" s="1" t="s">
        <v>60</v>
      </c>
      <c r="L17" s="8">
        <f>L16*155.9</f>
        <v>1059964.1000000001</v>
      </c>
      <c r="M17" s="1" t="s">
        <v>60</v>
      </c>
      <c r="N17" s="1" t="s">
        <v>60</v>
      </c>
    </row>
    <row r="18" spans="1:14" s="1" customFormat="1" x14ac:dyDescent="0.2">
      <c r="A18" s="27"/>
      <c r="B18" s="27"/>
      <c r="C18" s="21" t="s">
        <v>46</v>
      </c>
      <c r="D18" s="1" t="s">
        <v>63</v>
      </c>
      <c r="E18" s="1" t="s">
        <v>60</v>
      </c>
      <c r="F18" s="3" t="s">
        <v>31</v>
      </c>
      <c r="G18" s="3" t="s">
        <v>86</v>
      </c>
      <c r="H18" s="1" t="s">
        <v>60</v>
      </c>
      <c r="I18" s="3" t="s">
        <v>30</v>
      </c>
      <c r="J18" s="1" t="s">
        <v>65</v>
      </c>
      <c r="K18" s="1" t="s">
        <v>60</v>
      </c>
      <c r="L18" s="1" t="s">
        <v>71</v>
      </c>
      <c r="M18" s="1" t="s">
        <v>60</v>
      </c>
      <c r="N18" s="1" t="s">
        <v>60</v>
      </c>
    </row>
    <row r="19" spans="1:14" s="1" customFormat="1" x14ac:dyDescent="0.2">
      <c r="A19" s="27"/>
      <c r="B19" s="27"/>
      <c r="C19" s="21" t="s">
        <v>47</v>
      </c>
      <c r="D19" s="1">
        <v>6.1</v>
      </c>
      <c r="E19" s="1" t="s">
        <v>60</v>
      </c>
      <c r="F19" s="2">
        <v>7.5</v>
      </c>
      <c r="G19" s="2">
        <v>8.6</v>
      </c>
      <c r="H19" s="1" t="s">
        <v>60</v>
      </c>
      <c r="I19" s="2">
        <v>8.9</v>
      </c>
      <c r="J19" s="1">
        <v>8.9</v>
      </c>
      <c r="K19" s="1" t="s">
        <v>60</v>
      </c>
      <c r="L19" s="1">
        <v>8.9</v>
      </c>
      <c r="M19" s="1" t="s">
        <v>60</v>
      </c>
      <c r="N19" s="1" t="s">
        <v>60</v>
      </c>
    </row>
    <row r="20" spans="1:14" s="1" customFormat="1" x14ac:dyDescent="0.2">
      <c r="A20" s="27"/>
      <c r="B20" s="27"/>
      <c r="C20" s="21" t="s">
        <v>48</v>
      </c>
      <c r="D20" s="1">
        <v>11</v>
      </c>
      <c r="E20" s="1" t="s">
        <v>60</v>
      </c>
      <c r="F20" s="2">
        <v>11</v>
      </c>
      <c r="G20" s="2">
        <v>24</v>
      </c>
      <c r="H20" s="1" t="s">
        <v>60</v>
      </c>
      <c r="I20" s="2">
        <v>16</v>
      </c>
      <c r="J20" s="1">
        <v>24</v>
      </c>
      <c r="K20" s="1" t="s">
        <v>60</v>
      </c>
      <c r="L20" s="1">
        <v>48</v>
      </c>
      <c r="M20" s="1" t="s">
        <v>60</v>
      </c>
      <c r="N20" s="1" t="s">
        <v>60</v>
      </c>
    </row>
    <row r="21" spans="1:14" s="12" customFormat="1" x14ac:dyDescent="0.2">
      <c r="A21" s="29"/>
      <c r="B21" s="29"/>
      <c r="C21" s="23" t="s">
        <v>49</v>
      </c>
      <c r="D21" s="12">
        <v>3584</v>
      </c>
      <c r="E21" s="12" t="s">
        <v>60</v>
      </c>
      <c r="F21" s="10">
        <v>4352</v>
      </c>
      <c r="G21" s="10">
        <v>10496</v>
      </c>
      <c r="H21" s="12" t="s">
        <v>60</v>
      </c>
      <c r="I21" s="10">
        <v>9728</v>
      </c>
      <c r="J21" s="12">
        <v>7680</v>
      </c>
      <c r="K21" s="12" t="s">
        <v>60</v>
      </c>
      <c r="L21" s="12">
        <v>18176</v>
      </c>
      <c r="M21" s="12" t="s">
        <v>60</v>
      </c>
      <c r="N21" s="12" t="s">
        <v>60</v>
      </c>
    </row>
    <row r="22" spans="1:14" s="1" customFormat="1" ht="13.5" customHeight="1" x14ac:dyDescent="0.2">
      <c r="A22" s="26" t="s">
        <v>22</v>
      </c>
      <c r="B22" s="26"/>
      <c r="C22" s="21" t="s">
        <v>6</v>
      </c>
      <c r="D22" s="15" t="s">
        <v>33</v>
      </c>
      <c r="E22" s="1" t="s">
        <v>60</v>
      </c>
      <c r="F22" s="14" t="s">
        <v>32</v>
      </c>
      <c r="G22" s="18" t="s">
        <v>67</v>
      </c>
      <c r="H22" s="1" t="s">
        <v>60</v>
      </c>
      <c r="I22" s="15" t="s">
        <v>33</v>
      </c>
      <c r="J22" s="15" t="s">
        <v>33</v>
      </c>
      <c r="K22" s="1" t="s">
        <v>60</v>
      </c>
      <c r="L22" s="18" t="s">
        <v>67</v>
      </c>
      <c r="M22" s="1" t="s">
        <v>60</v>
      </c>
      <c r="N22" s="1" t="s">
        <v>60</v>
      </c>
    </row>
    <row r="23" spans="1:14" s="1" customFormat="1" x14ac:dyDescent="0.2">
      <c r="A23" s="26"/>
      <c r="B23" s="26"/>
      <c r="C23" s="21" t="s">
        <v>50</v>
      </c>
      <c r="D23" s="1">
        <v>1</v>
      </c>
      <c r="E23" s="1">
        <v>2</v>
      </c>
      <c r="F23" s="1">
        <v>1</v>
      </c>
      <c r="G23" s="1">
        <v>1</v>
      </c>
      <c r="H23" s="1">
        <v>2</v>
      </c>
      <c r="I23" s="1">
        <v>1</v>
      </c>
      <c r="J23" s="1">
        <v>1</v>
      </c>
      <c r="K23" s="1">
        <v>2</v>
      </c>
      <c r="L23" s="1">
        <v>1</v>
      </c>
      <c r="M23" s="1">
        <v>2</v>
      </c>
      <c r="N23" s="1">
        <v>8</v>
      </c>
    </row>
    <row r="24" spans="1:14" s="1" customFormat="1" x14ac:dyDescent="0.2">
      <c r="A24" s="26"/>
      <c r="B24" s="26"/>
      <c r="C24" s="21" t="s">
        <v>51</v>
      </c>
      <c r="D24" s="1">
        <v>6</v>
      </c>
      <c r="E24" s="1" t="s">
        <v>60</v>
      </c>
      <c r="F24" s="2">
        <v>8</v>
      </c>
      <c r="G24" s="2">
        <v>8</v>
      </c>
      <c r="H24" s="1" t="s">
        <v>60</v>
      </c>
      <c r="I24" s="2">
        <v>8</v>
      </c>
      <c r="J24" s="1">
        <v>8</v>
      </c>
      <c r="K24" s="1" t="s">
        <v>60</v>
      </c>
      <c r="L24" s="1">
        <v>8</v>
      </c>
      <c r="M24" s="1" t="s">
        <v>60</v>
      </c>
      <c r="N24" s="1" t="s">
        <v>60</v>
      </c>
    </row>
    <row r="25" spans="1:14" s="1" customFormat="1" ht="15" thickBot="1" x14ac:dyDescent="0.25">
      <c r="A25" s="31"/>
      <c r="B25" s="31"/>
      <c r="C25" s="21" t="s">
        <v>52</v>
      </c>
      <c r="D25" s="1">
        <v>2</v>
      </c>
      <c r="E25" s="1" t="s">
        <v>60</v>
      </c>
      <c r="F25" s="2">
        <v>2</v>
      </c>
      <c r="G25" s="2">
        <v>2</v>
      </c>
      <c r="H25" s="1" t="s">
        <v>60</v>
      </c>
      <c r="I25" s="2">
        <v>2</v>
      </c>
      <c r="J25" s="1">
        <v>2</v>
      </c>
      <c r="K25" s="1" t="s">
        <v>60</v>
      </c>
      <c r="L25" s="1">
        <v>2</v>
      </c>
      <c r="M25" s="1" t="s">
        <v>60</v>
      </c>
      <c r="N25" s="1" t="s">
        <v>60</v>
      </c>
    </row>
    <row r="26" spans="1:14" s="5" customFormat="1" ht="15" thickBot="1" x14ac:dyDescent="0.25">
      <c r="A26" s="34" t="s">
        <v>4</v>
      </c>
      <c r="B26" s="34"/>
      <c r="C26" s="34"/>
      <c r="D26" s="9"/>
      <c r="E26" s="9"/>
      <c r="F26" s="6"/>
      <c r="G26" s="6"/>
      <c r="H26" s="6"/>
      <c r="I26" s="6"/>
    </row>
    <row r="27" spans="1:14" ht="15" thickTop="1" x14ac:dyDescent="0.2">
      <c r="A27" s="32" t="s">
        <v>17</v>
      </c>
      <c r="B27" s="28" t="s">
        <v>19</v>
      </c>
      <c r="C27" s="22" t="s">
        <v>11</v>
      </c>
      <c r="D27" s="16"/>
      <c r="E27" s="16"/>
      <c r="F27" s="16">
        <v>2.3914103749993898</v>
      </c>
      <c r="G27" s="16">
        <v>0.49870329909026601</v>
      </c>
      <c r="H27" s="16">
        <v>0.65357592701911904</v>
      </c>
      <c r="I27" s="16">
        <v>0.42574739700000902</v>
      </c>
      <c r="J27" s="16">
        <v>0.23851548699894901</v>
      </c>
      <c r="K27" s="25">
        <v>0.27336076801293502</v>
      </c>
      <c r="L27" s="16">
        <v>0.314147925004363</v>
      </c>
      <c r="M27" s="16">
        <v>0.38381633535027498</v>
      </c>
      <c r="N27" s="16">
        <v>0.41497611207887503</v>
      </c>
    </row>
    <row r="28" spans="1:14" x14ac:dyDescent="0.2">
      <c r="A28" s="27"/>
      <c r="B28" s="27"/>
      <c r="C28" s="21" t="s">
        <v>53</v>
      </c>
      <c r="D28" s="16"/>
      <c r="E28" s="16"/>
      <c r="F28" s="16">
        <v>39.583543145999997</v>
      </c>
      <c r="G28" s="16">
        <v>0.45725696720182801</v>
      </c>
      <c r="H28" s="16">
        <v>0.72607256611809101</v>
      </c>
      <c r="I28" s="16">
        <v>2.5850061599999701</v>
      </c>
      <c r="J28" s="16">
        <v>0.32106483101961197</v>
      </c>
      <c r="K28" s="25">
        <v>0.432109157001832</v>
      </c>
      <c r="L28" s="16">
        <v>0.44132255902513801</v>
      </c>
      <c r="M28" s="16">
        <v>0.498700611293315</v>
      </c>
      <c r="N28" s="16">
        <v>0.52433268912136499</v>
      </c>
    </row>
    <row r="29" spans="1:14" s="11" customFormat="1" x14ac:dyDescent="0.2">
      <c r="A29" s="27"/>
      <c r="B29" s="29"/>
      <c r="C29" s="23" t="s">
        <v>54</v>
      </c>
      <c r="D29" s="17"/>
      <c r="E29" s="17"/>
      <c r="F29" s="17">
        <v>2.0446872010070298</v>
      </c>
      <c r="G29" s="17">
        <v>1.5575696257874301</v>
      </c>
      <c r="H29" s="17">
        <v>1.4984647757373699</v>
      </c>
      <c r="I29" s="17">
        <v>1.2970120859999901</v>
      </c>
      <c r="J29" s="17">
        <v>1.0113563909835599</v>
      </c>
      <c r="K29" s="24">
        <v>1.0992550000082699</v>
      </c>
      <c r="L29" s="17">
        <v>0.93604507204145104</v>
      </c>
      <c r="M29" s="17">
        <v>1.0592753491364399</v>
      </c>
      <c r="N29" s="17">
        <v>1.0624954681843499</v>
      </c>
    </row>
    <row r="30" spans="1:14" x14ac:dyDescent="0.2">
      <c r="A30" s="27"/>
      <c r="B30" s="36" t="s">
        <v>20</v>
      </c>
      <c r="C30" s="41" t="s">
        <v>12</v>
      </c>
      <c r="D30" s="16"/>
      <c r="E30" s="16"/>
      <c r="F30" s="16">
        <v>20.214288881004901</v>
      </c>
      <c r="G30" s="16">
        <v>10.2660036482848</v>
      </c>
      <c r="H30" s="16">
        <v>7.3084222399629599</v>
      </c>
      <c r="I30" s="16">
        <v>10.29708173</v>
      </c>
      <c r="J30" s="16">
        <v>9.8356007710099203</v>
      </c>
      <c r="K30" s="25">
        <v>5.8719745109847201</v>
      </c>
      <c r="L30" s="16">
        <v>5.4362869118340296</v>
      </c>
      <c r="M30" s="16">
        <v>3.7043352299369801</v>
      </c>
      <c r="N30" s="16">
        <v>2.2291152272373398</v>
      </c>
    </row>
    <row r="31" spans="1:14" x14ac:dyDescent="0.2">
      <c r="A31" s="27"/>
      <c r="B31" s="37"/>
      <c r="C31" s="41" t="s">
        <v>84</v>
      </c>
      <c r="D31" s="16"/>
      <c r="E31" s="16"/>
      <c r="F31" s="16">
        <v>9.4548960510000999</v>
      </c>
      <c r="G31" s="16">
        <v>10.183667462784699</v>
      </c>
      <c r="H31" s="16">
        <v>4.4993193191476104</v>
      </c>
      <c r="I31" s="16">
        <v>9.6794922199999807</v>
      </c>
      <c r="J31" s="16">
        <v>9.7039891590247809</v>
      </c>
      <c r="K31" s="25">
        <v>4.2973486040136697</v>
      </c>
      <c r="L31" s="16">
        <v>8.6338418349623591</v>
      </c>
      <c r="M31" s="16">
        <v>3.7967990208417102</v>
      </c>
      <c r="N31" s="16">
        <v>1.07157681882381</v>
      </c>
    </row>
    <row r="32" spans="1:14" x14ac:dyDescent="0.2">
      <c r="A32" s="27"/>
      <c r="B32" s="38"/>
      <c r="C32" s="41" t="s">
        <v>13</v>
      </c>
      <c r="D32" s="16"/>
      <c r="E32" s="16"/>
      <c r="F32" s="16">
        <v>23.7103040420042</v>
      </c>
      <c r="G32" s="16">
        <v>27.9142418378032</v>
      </c>
      <c r="H32" s="16">
        <v>18.120484311133598</v>
      </c>
      <c r="I32" s="16">
        <v>17.480355906</v>
      </c>
      <c r="J32" s="16">
        <v>22.579874332994201</v>
      </c>
      <c r="K32" s="25">
        <v>15.8174322310078</v>
      </c>
      <c r="L32" s="16">
        <v>19.810522187035499</v>
      </c>
      <c r="M32" s="16">
        <v>11.513873033225501</v>
      </c>
      <c r="N32" s="16">
        <v>8.6620373059995401</v>
      </c>
    </row>
    <row r="33" spans="1:14" s="11" customFormat="1" x14ac:dyDescent="0.2">
      <c r="A33" s="27"/>
      <c r="B33" s="39"/>
      <c r="C33" s="42" t="s">
        <v>14</v>
      </c>
      <c r="D33" s="17"/>
      <c r="E33" s="17"/>
      <c r="F33" s="17">
        <v>13.216237984000999</v>
      </c>
      <c r="G33" s="17">
        <v>7.1944337543100101</v>
      </c>
      <c r="H33" s="17">
        <v>4.3598448107950301</v>
      </c>
      <c r="I33" s="17">
        <v>7.30843115199999</v>
      </c>
      <c r="J33" s="17">
        <v>6.8513100670243103</v>
      </c>
      <c r="K33" s="24">
        <v>3.7633447319967601</v>
      </c>
      <c r="L33" s="17">
        <v>6.6282632141373998</v>
      </c>
      <c r="M33" s="17">
        <v>3.3692198800854301</v>
      </c>
      <c r="N33" s="17">
        <v>1.34598894231021</v>
      </c>
    </row>
    <row r="34" spans="1:14" x14ac:dyDescent="0.2">
      <c r="A34" s="27"/>
      <c r="B34" s="30" t="s">
        <v>21</v>
      </c>
      <c r="C34" s="21" t="s">
        <v>15</v>
      </c>
      <c r="D34" s="16"/>
      <c r="E34" s="16"/>
      <c r="F34" s="16">
        <v>0.821441968000726</v>
      </c>
      <c r="G34" s="16">
        <v>0.79568387707695298</v>
      </c>
      <c r="H34" s="16">
        <v>0.78495349688455396</v>
      </c>
      <c r="I34" s="16">
        <v>0.48368760400000999</v>
      </c>
      <c r="J34" s="16">
        <v>0.56932821901864294</v>
      </c>
      <c r="K34" s="25">
        <v>0.60606098300195299</v>
      </c>
      <c r="L34" s="16">
        <v>0.58721559401601497</v>
      </c>
      <c r="M34" s="16">
        <v>0.58120506722480003</v>
      </c>
      <c r="N34" s="16">
        <v>0.55580203561112196</v>
      </c>
    </row>
    <row r="35" spans="1:14" x14ac:dyDescent="0.2">
      <c r="A35" s="27"/>
      <c r="B35" s="27"/>
      <c r="C35" s="21" t="s">
        <v>55</v>
      </c>
      <c r="D35" s="16"/>
      <c r="E35" s="16"/>
      <c r="F35" s="16">
        <v>4.50252729933708E-2</v>
      </c>
      <c r="G35" s="16">
        <v>9.8841292783617904E-3</v>
      </c>
      <c r="H35" s="16">
        <v>3.5308669321238899E-3</v>
      </c>
      <c r="I35" s="16">
        <v>1.59942209999996E-2</v>
      </c>
      <c r="J35" s="16">
        <v>7.2653160023037301E-3</v>
      </c>
      <c r="K35" s="25">
        <v>5.3255280072335102E-3</v>
      </c>
      <c r="L35" s="16">
        <v>1.1874962132424101E-2</v>
      </c>
      <c r="M35" s="16">
        <v>9.7346412949263997E-3</v>
      </c>
      <c r="N35" s="16">
        <v>1.03161097504198E-2</v>
      </c>
    </row>
    <row r="36" spans="1:14" s="11" customFormat="1" x14ac:dyDescent="0.2">
      <c r="A36" s="27"/>
      <c r="B36" s="29"/>
      <c r="C36" s="23" t="s">
        <v>56</v>
      </c>
      <c r="D36" s="17"/>
      <c r="E36" s="17"/>
      <c r="F36" s="17">
        <v>12.7788297310034</v>
      </c>
      <c r="G36" s="17">
        <v>3.4158759671263299</v>
      </c>
      <c r="H36" s="17">
        <v>4.0836179316975096</v>
      </c>
      <c r="I36" s="17">
        <v>3.9311392220000099</v>
      </c>
      <c r="J36" s="24">
        <v>2.75049070699606</v>
      </c>
      <c r="K36" s="24">
        <v>2.9935199930041501</v>
      </c>
      <c r="L36" s="24">
        <v>3.7956538437865599</v>
      </c>
      <c r="M36" s="24">
        <v>4.4984024842269701</v>
      </c>
      <c r="N36" s="24">
        <v>4.4641529698856104</v>
      </c>
    </row>
    <row r="37" spans="1:14" x14ac:dyDescent="0.2">
      <c r="A37" s="27"/>
      <c r="B37" s="27" t="s">
        <v>16</v>
      </c>
      <c r="C37" s="21" t="s">
        <v>16</v>
      </c>
      <c r="D37" s="16"/>
      <c r="E37" s="16"/>
      <c r="F37" s="16">
        <v>124.802322556002</v>
      </c>
      <c r="G37" s="16">
        <v>62.738650712650198</v>
      </c>
      <c r="H37" s="16">
        <v>43.982205593958497</v>
      </c>
      <c r="I37" s="16">
        <v>53.852136003999902</v>
      </c>
      <c r="J37" s="25">
        <v>54.184698252007301</v>
      </c>
      <c r="K37" s="25">
        <v>36.610345702007102</v>
      </c>
      <c r="L37" s="25">
        <v>46.912286573089602</v>
      </c>
      <c r="M37" s="25">
        <v>30.6611705827526</v>
      </c>
      <c r="N37" s="25">
        <v>21.707423390354901</v>
      </c>
    </row>
    <row r="38" spans="1:14" s="11" customFormat="1" x14ac:dyDescent="0.2">
      <c r="A38" s="29"/>
      <c r="B38" s="29"/>
      <c r="C38" s="23" t="s">
        <v>57</v>
      </c>
      <c r="D38" s="17"/>
      <c r="E38" s="17"/>
      <c r="F38" s="17">
        <v>204</v>
      </c>
      <c r="G38" s="17">
        <v>84</v>
      </c>
      <c r="H38" s="17">
        <v>71</v>
      </c>
      <c r="I38" s="17">
        <v>82</v>
      </c>
      <c r="J38" s="24">
        <v>73</v>
      </c>
      <c r="K38" s="24">
        <v>60</v>
      </c>
      <c r="L38" s="24">
        <v>71</v>
      </c>
      <c r="M38" s="24">
        <v>62</v>
      </c>
      <c r="N38" s="24">
        <v>67</v>
      </c>
    </row>
    <row r="39" spans="1:14" x14ac:dyDescent="0.2">
      <c r="A39" s="26" t="s">
        <v>18</v>
      </c>
      <c r="B39" s="30" t="s">
        <v>19</v>
      </c>
      <c r="C39" s="21" t="s">
        <v>11</v>
      </c>
      <c r="D39" s="16"/>
      <c r="E39" s="16"/>
      <c r="F39" s="16"/>
      <c r="G39" s="16">
        <v>0.50284448871388998</v>
      </c>
      <c r="H39" s="16">
        <v>0.71354523114860002</v>
      </c>
      <c r="I39" s="16">
        <v>0.400137391000015</v>
      </c>
      <c r="J39" s="25">
        <v>0.242017420998308</v>
      </c>
      <c r="K39" s="25">
        <v>0.31035188501118599</v>
      </c>
      <c r="L39" s="25">
        <v>0.32862523570656699</v>
      </c>
      <c r="M39" s="25">
        <v>0.33271143306046702</v>
      </c>
      <c r="N39" s="25">
        <v>0.37867269525304398</v>
      </c>
    </row>
    <row r="40" spans="1:14" x14ac:dyDescent="0.2">
      <c r="A40" s="27"/>
      <c r="B40" s="27"/>
      <c r="C40" s="21" t="s">
        <v>58</v>
      </c>
      <c r="D40" s="16"/>
      <c r="E40" s="16"/>
      <c r="F40" s="16"/>
      <c r="G40" s="16">
        <v>0.42873780196532602</v>
      </c>
      <c r="H40" s="16">
        <v>0.69117780309170396</v>
      </c>
      <c r="I40" s="16">
        <v>2.5898015980000002</v>
      </c>
      <c r="J40" s="25">
        <v>0.32363425698713399</v>
      </c>
      <c r="K40" s="25">
        <v>0.40080995901371302</v>
      </c>
      <c r="L40" s="25">
        <v>0.50541955791413695</v>
      </c>
      <c r="M40" s="25">
        <v>0.48882253793999503</v>
      </c>
      <c r="N40" s="25">
        <v>0.64223923021927398</v>
      </c>
    </row>
    <row r="41" spans="1:14" s="11" customFormat="1" x14ac:dyDescent="0.2">
      <c r="A41" s="27"/>
      <c r="B41" s="29"/>
      <c r="C41" s="23" t="s">
        <v>54</v>
      </c>
      <c r="D41" s="17"/>
      <c r="E41" s="17"/>
      <c r="F41" s="17"/>
      <c r="G41" s="17">
        <v>5.0059210187755498</v>
      </c>
      <c r="H41" s="17">
        <v>4.9661646480671999</v>
      </c>
      <c r="I41" s="17">
        <v>4.3499941880000099</v>
      </c>
      <c r="J41" s="24">
        <v>3.6357747169968202</v>
      </c>
      <c r="K41" s="24">
        <v>3.7911167510028401</v>
      </c>
      <c r="L41" s="24">
        <v>3.1097499579191199</v>
      </c>
      <c r="M41" s="24">
        <v>3.9793555671349101</v>
      </c>
      <c r="N41" s="24">
        <v>4.0341609502211204</v>
      </c>
    </row>
    <row r="42" spans="1:14" x14ac:dyDescent="0.2">
      <c r="A42" s="27"/>
      <c r="B42" s="40" t="s">
        <v>20</v>
      </c>
      <c r="C42" s="41" t="s">
        <v>12</v>
      </c>
      <c r="D42" s="16"/>
      <c r="E42" s="16"/>
      <c r="F42" s="16"/>
      <c r="G42" s="16">
        <v>39.198459480889099</v>
      </c>
      <c r="H42" s="16">
        <v>22.099547667894502</v>
      </c>
      <c r="I42" s="16">
        <v>33.976817592000003</v>
      </c>
      <c r="J42" s="25">
        <v>36.857392473990302</v>
      </c>
      <c r="K42" s="25">
        <v>20.253969917976001</v>
      </c>
      <c r="L42" s="25">
        <v>16.575125847011801</v>
      </c>
      <c r="M42" s="25">
        <v>10.5931354621425</v>
      </c>
      <c r="N42" s="25">
        <v>5.8319269688799897</v>
      </c>
    </row>
    <row r="43" spans="1:14" x14ac:dyDescent="0.2">
      <c r="A43" s="27"/>
      <c r="B43" s="37"/>
      <c r="C43" s="41" t="s">
        <v>84</v>
      </c>
      <c r="D43" s="16"/>
      <c r="E43" s="16"/>
      <c r="F43" s="16"/>
      <c r="G43" s="16">
        <v>41.665881626773597</v>
      </c>
      <c r="H43" s="16">
        <v>18.820871174801098</v>
      </c>
      <c r="I43" s="16">
        <v>39.318443496999997</v>
      </c>
      <c r="J43" s="25">
        <v>39.802582204982102</v>
      </c>
      <c r="K43" s="25">
        <v>18.204196125007002</v>
      </c>
      <c r="L43" s="25">
        <v>35.144391817040699</v>
      </c>
      <c r="M43" s="25">
        <v>14.9038841850124</v>
      </c>
      <c r="N43" s="25">
        <v>4.4372280300594804</v>
      </c>
    </row>
    <row r="44" spans="1:14" x14ac:dyDescent="0.2">
      <c r="A44" s="27"/>
      <c r="B44" s="38"/>
      <c r="C44" s="41" t="s">
        <v>13</v>
      </c>
      <c r="D44" s="16"/>
      <c r="E44" s="16"/>
      <c r="F44" s="16"/>
      <c r="G44" s="16">
        <v>65.217677915934402</v>
      </c>
      <c r="H44" s="16">
        <v>52.023775223642502</v>
      </c>
      <c r="I44" s="16">
        <v>42.003265999</v>
      </c>
      <c r="J44" s="25">
        <v>48.866922488988997</v>
      </c>
      <c r="K44" s="25">
        <v>27.922537649981599</v>
      </c>
      <c r="L44" s="25">
        <v>43.576578847132602</v>
      </c>
      <c r="M44" s="25">
        <v>24.685732924844999</v>
      </c>
      <c r="N44" s="25">
        <v>13.8762322496622</v>
      </c>
    </row>
    <row r="45" spans="1:14" s="11" customFormat="1" x14ac:dyDescent="0.2">
      <c r="A45" s="27"/>
      <c r="B45" s="39"/>
      <c r="C45" s="42" t="s">
        <v>14</v>
      </c>
      <c r="D45" s="17"/>
      <c r="E45" s="17"/>
      <c r="F45" s="17"/>
      <c r="G45" s="17">
        <v>29.341815375722899</v>
      </c>
      <c r="H45" s="17">
        <v>15.7044425089843</v>
      </c>
      <c r="I45" s="17">
        <v>28.285379806999899</v>
      </c>
      <c r="J45" s="24">
        <v>28.410903652984398</v>
      </c>
      <c r="K45" s="24">
        <v>15.2793028439919</v>
      </c>
      <c r="L45" s="24">
        <v>24.741927819326499</v>
      </c>
      <c r="M45" s="24">
        <v>12.9752079010941</v>
      </c>
      <c r="N45" s="24">
        <v>5.1526448610238704</v>
      </c>
    </row>
    <row r="46" spans="1:14" x14ac:dyDescent="0.2">
      <c r="A46" s="27"/>
      <c r="B46" s="30" t="s">
        <v>21</v>
      </c>
      <c r="C46" s="21" t="s">
        <v>15</v>
      </c>
      <c r="D46" s="16"/>
      <c r="E46" s="16"/>
      <c r="F46" s="16"/>
      <c r="G46" s="16">
        <v>3.17040770314633</v>
      </c>
      <c r="H46" s="16">
        <v>4.3525433158501903</v>
      </c>
      <c r="I46" s="16">
        <v>2.0834922319999598</v>
      </c>
      <c r="J46" s="25">
        <v>2.29383057699305</v>
      </c>
      <c r="K46" s="25">
        <v>2.3635045140108502</v>
      </c>
      <c r="L46" s="25">
        <v>2.3554833130910899</v>
      </c>
      <c r="M46" s="25">
        <v>2.3636656110174901</v>
      </c>
      <c r="N46" s="25">
        <v>2.2461534040048701</v>
      </c>
    </row>
    <row r="47" spans="1:14" x14ac:dyDescent="0.2">
      <c r="A47" s="27"/>
      <c r="B47" s="27"/>
      <c r="C47" s="21" t="s">
        <v>55</v>
      </c>
      <c r="D47" s="16"/>
      <c r="E47" s="16"/>
      <c r="F47" s="16"/>
      <c r="G47" s="16">
        <v>8.9637078344821895E-3</v>
      </c>
      <c r="H47" s="16">
        <v>4.1490672156214697E-3</v>
      </c>
      <c r="I47" s="16">
        <v>1.58119309999733E-2</v>
      </c>
      <c r="J47" s="25">
        <v>6.8482829956337801E-3</v>
      </c>
      <c r="K47" s="25">
        <v>6.2112669984344298E-3</v>
      </c>
      <c r="L47" s="25">
        <v>1.0079315863549701E-2</v>
      </c>
      <c r="M47" s="25">
        <v>9.1348132118582708E-3</v>
      </c>
      <c r="N47" s="25">
        <v>1.1712969280779299E-2</v>
      </c>
    </row>
    <row r="48" spans="1:14" s="11" customFormat="1" x14ac:dyDescent="0.2">
      <c r="A48" s="27"/>
      <c r="B48" s="29"/>
      <c r="C48" s="23" t="s">
        <v>59</v>
      </c>
      <c r="D48" s="17"/>
      <c r="E48" s="17"/>
      <c r="F48" s="17"/>
      <c r="G48" s="17">
        <v>3.5821724026463899</v>
      </c>
      <c r="H48" s="17">
        <v>4.7167188781313598</v>
      </c>
      <c r="I48" s="17">
        <v>4.0814938059999601</v>
      </c>
      <c r="J48" s="24">
        <v>2.8744082780030999</v>
      </c>
      <c r="K48" s="24">
        <v>2.97798476100433</v>
      </c>
      <c r="L48" s="24">
        <v>4.1986377970315498</v>
      </c>
      <c r="M48" s="24">
        <v>4.7865026001818398</v>
      </c>
      <c r="N48" s="24">
        <v>4.7243544762022696</v>
      </c>
    </row>
    <row r="49" spans="1:14" x14ac:dyDescent="0.2">
      <c r="A49" s="27"/>
      <c r="B49" s="27" t="s">
        <v>16</v>
      </c>
      <c r="C49" s="21" t="s">
        <v>16</v>
      </c>
      <c r="D49" s="16"/>
      <c r="E49" s="16"/>
      <c r="F49" s="16"/>
      <c r="G49" s="16">
        <v>188.93581879418301</v>
      </c>
      <c r="H49" s="16">
        <v>130.14035882521401</v>
      </c>
      <c r="I49" s="16">
        <v>157.87777048999999</v>
      </c>
      <c r="J49" s="25">
        <v>163.948905780009</v>
      </c>
      <c r="K49" s="25">
        <v>96.640403512021294</v>
      </c>
      <c r="L49" s="25">
        <v>131.12122976733301</v>
      </c>
      <c r="M49" s="25">
        <v>79.189955803100005</v>
      </c>
      <c r="N49" s="25">
        <v>46.331093179062002</v>
      </c>
    </row>
    <row r="50" spans="1:14" x14ac:dyDescent="0.2">
      <c r="A50" s="27"/>
      <c r="B50" s="27"/>
      <c r="C50" s="21" t="s">
        <v>57</v>
      </c>
      <c r="D50" s="16"/>
      <c r="E50" s="16"/>
      <c r="F50" s="16"/>
      <c r="G50" s="16">
        <v>212</v>
      </c>
      <c r="H50" s="16">
        <v>158</v>
      </c>
      <c r="I50" s="16">
        <v>186</v>
      </c>
      <c r="J50" s="25">
        <v>183</v>
      </c>
      <c r="K50" s="25">
        <v>120</v>
      </c>
      <c r="L50" s="25">
        <v>156</v>
      </c>
      <c r="M50" s="25">
        <v>109</v>
      </c>
      <c r="N50" s="25">
        <v>96</v>
      </c>
    </row>
  </sheetData>
  <mergeCells count="18">
    <mergeCell ref="A22:B25"/>
    <mergeCell ref="A27:A38"/>
    <mergeCell ref="A1:C1"/>
    <mergeCell ref="A2:C2"/>
    <mergeCell ref="A3:C3"/>
    <mergeCell ref="A26:C26"/>
    <mergeCell ref="A4:B7"/>
    <mergeCell ref="A8:B14"/>
    <mergeCell ref="A15:B21"/>
    <mergeCell ref="A39:A50"/>
    <mergeCell ref="B27:B29"/>
    <mergeCell ref="B30:B33"/>
    <mergeCell ref="B34:B36"/>
    <mergeCell ref="B37:B38"/>
    <mergeCell ref="B39:B41"/>
    <mergeCell ref="B42:B45"/>
    <mergeCell ref="B46:B48"/>
    <mergeCell ref="B49:B50"/>
  </mergeCells>
  <phoneticPr fontId="1"/>
  <conditionalFormatting sqref="A9:XFD9 A16:XFD1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0:XFD10 A17:XFD17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23:XFD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27:XFD27 A39:XFD39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30:XFD31 A42:XFD4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</conditionalFormatting>
  <conditionalFormatting sqref="A36:XFD36 A48:XFD48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7:XFD37 A49:XFD49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8 A49:XFD50">
    <cfRule type="dataBar" priority="1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38:XFD38 A50:XFD50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40:XFD40 A28:XFD28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1:XFD41 A29:XFD29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2:XFD43 A30:XFD31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4:XFD44 A32:XFD32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5:XFD45 A33:XFD33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46:XFD46 A34:XFD3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7:XFD47 A35:XFD3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D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F12:G12 I12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G14 I13:I14">
    <cfRule type="dataBar" priority="85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9:G19 I19">
    <cfRule type="dataBar" priority="88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:G20 I20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:G21 I21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:G24 I24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:G25 I25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F9:G9 I9:J9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G10 I10:J10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6:G16 I16:J16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G17 I17:J17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L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L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{7E50EB07-188B-47B3-99BF-ABD8255E3D2D}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</conditionalFormatting>
  <conditionalFormatting sqref="L1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L1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{EF1AFFEC-FFA2-48E4-BAAF-28CAEA92E399}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</conditionalFormatting>
  <conditionalFormatting sqref="O9:XFD9 A9:D9 F9:G9 L9 I9:J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O10:XFD10 A10:D10 L10 F10:G10 I10:J1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O12:XFD12 A12:D12 F12:G12 L12 I12:J1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O13:XFD14 A13:D14 F13:G14 L13:L14 I13:J14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O16:XFD16 A9:D9 A16:D16 F9:G9 F16:G16 L9 L16 O9:XFD9 I16:J16 I9:J9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O17:XFD17 A10:D10 A17:D17 O10:XFD10 L10 L17 F10:G10 F17:G17 I17:J17 I10:J1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O19:XFD19 A19:D19 F19:G19 L19 I19:J1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O20:XFD20 A20:D20 F20:G20 L20 I20:J20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O21:XFD21 A21:D21 F21:G21 L21 I21:J2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O24:XFD24 A24:D24 F24:G24 L24 I24:J24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O25:XFD25 A25:D25 F25:G25 L25 I25:J25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31:XFD31 A43:XFD4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{5116F6CD-AA68-44F1-8493-873CEF528752}</x14:id>
        </ext>
      </extLst>
    </cfRule>
  </conditionalFormatting>
  <conditionalFormatting sqref="A30:XFD30 A42:XFD42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{61538239-4463-49B8-9A29-C3B20DF09C8A}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A10:XFD10 A17:XFD17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A39:XFD39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A30:XFD31 A42:XFD43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A36:XFD36 A48:XFD48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A37:XFD37 A49:XFD49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A37:XFD38 A49:XFD50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A38:XFD38 A50:XFD50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A40:XFD40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A41:XFD41 A29:XFD29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A42:XFD43 A30:XFD31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A44:XFD44 A32:XFD32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A45:XFD45 A33:XFD33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A46:XFD46 A34:XFD34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A47:XFD47 A35:XFD35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F12:G12 I12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F13:G14 I13:I14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F19:G19 I19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F20:G20 I20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F21:G21 I21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F24:G24 I24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F25:G25 I25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F9:G9 I9:J9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F10:G10 I10:J10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F16:G16 I16:J16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F17:G17 I17:J17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7E50EB07-188B-47B3-99BF-ABD8255E3D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L16</xm:sqref>
        </x14:conditionalFormatting>
        <x14:conditionalFormatting xmlns:xm="http://schemas.microsoft.com/office/excel/2006/main">
          <x14:cfRule type="dataBar" id="{EF1AFFEC-FFA2-48E4-BAAF-28CAEA92E3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O9:XFD9 A9:D9 F9:G9 L9 I9:J9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O10:XFD10 A10:D10 L10 F10:G10 I10:J10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O12:XFD12 A12:D12 F12:G12 L12 I12:J12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O13:XFD14 A13:D14 F13:G14 L13:L14 I13:J14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O16:XFD16 A9:D9 A16:D16 F9:G9 F16:G16 L9 L16 O9:XFD9 I16:J16 I9:J9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O17:XFD17 A10:D10 A17:D17 O10:XFD10 L10 L17 F10:G10 F17:G17 I17:J17 I10:J10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O19:XFD19 A19:D19 F19:G19 L19 I19:J19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O20:XFD20 A20:D20 F20:G20 L20 I20:J20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O21:XFD21 A21:D21 F21:G21 L21 I21:J21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O24:XFD24 A24:D24 F24:G24 L24 I24:J24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O25:XFD25 A25:D25 F25:G25 L25 I25:J25</xm:sqref>
        </x14:conditionalFormatting>
        <x14:conditionalFormatting xmlns:xm="http://schemas.microsoft.com/office/excel/2006/main">
          <x14:cfRule type="dataBar" id="{5116F6CD-AA68-44F1-8493-873CEF5287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A31:XFD31 A43:XFD43</xm:sqref>
        </x14:conditionalFormatting>
        <x14:conditionalFormatting xmlns:xm="http://schemas.microsoft.com/office/excel/2006/main">
          <x14:cfRule type="dataBar" id="{61538239-4463-49B8-9A29-C3B20DF09C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A30:XFD30 A42:XFD42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2025-12-17T10:49:46Z</dcterms:modified>
</cp:coreProperties>
</file>