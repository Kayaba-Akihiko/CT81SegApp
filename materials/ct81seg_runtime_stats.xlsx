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5AB34A38-C678-4814-836C-69C0015BE110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0" i="1"/>
</calcChain>
</file>

<file path=xl/sharedStrings.xml><?xml version="1.0" encoding="utf-8"?>
<sst xmlns="http://schemas.openxmlformats.org/spreadsheetml/2006/main" count="104" uniqueCount="65">
  <si>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</si>
  <si>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</si>
  <si>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</si>
  <si>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</si>
  <si>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</si>
  <si>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</si>
  <si>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</si>
  <si>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</si>
  <si>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</si>
  <si>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</si>
  <si>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</si>
  <si>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</si>
  <si>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</si>
  <si>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</si>
  <si>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</si>
  <si>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</si>
  <si>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</si>
  <si>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</si>
  <si>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</si>
  <si>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</si>
  <si>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</si>
  <si>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</si>
  <si>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</si>
  <si>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</si>
  <si>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</si>
  <si>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</si>
  <si>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</si>
  <si>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</si>
  <si>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</si>
  <si>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</si>
  <si>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</si>
  <si>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</si>
  <si>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</si>
  <si>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</si>
  <si>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Machine (devonrex)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</si>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</sst>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G48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H10" sqref="H10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.25" customWidth="1"/>
    <col min="5" max="5" width="14.75" customWidth="1"/>
    <col min="6" max="6" width="18.75" customWidth="1"/>
    <col min="7" max="9" width="21" customWidth="1"/>
  </cols>
  <sheetData>
    <row r="1" spans="1:7" s="23" customFormat="1" x14ac:dyDescent="0.15">
      <c r="A1" s="21"/>
      <c r="B1" s="21"/>
      <c r="C1" s="21"/>
      <c r="D1" s="22" t="s">
        <v>39</v>
      </c>
      <c r="E1" s="22" t="s">
        <v>40</v>
      </c>
      <c r="F1" s="22" t="s">
        <v>34</v>
      </c>
    </row>
    <row r="2" spans="1:7" s="23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</row>
    <row r="3" spans="1:7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7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64</v>
      </c>
      <c r="F4" s="19" t="s">
        <v>24</v>
      </c>
    </row>
    <row r="5" spans="1:7" x14ac:dyDescent="0.15">
      <c r="A5" s="28"/>
      <c r="B5" s="28"/>
      <c r="C5" s="23" t="s">
        <v>0</v>
      </c>
      <c r="D5" s="16" t="s">
        <v>26</v>
      </c>
      <c r="E5" s="1" t="s">
        <v>64</v>
      </c>
      <c r="F5" s="15" t="s">
        <v>25</v>
      </c>
      <c r="G5" s="1"/>
    </row>
    <row r="6" spans="1:7" x14ac:dyDescent="0.15">
      <c r="A6" s="28"/>
      <c r="B6" s="28"/>
      <c r="C6" s="23" t="s">
        <v>27</v>
      </c>
      <c r="D6" s="16" t="s">
        <v>36</v>
      </c>
      <c r="E6" s="1" t="s">
        <v>64</v>
      </c>
      <c r="F6" s="13" t="s">
        <v>28</v>
      </c>
      <c r="G6" s="1"/>
    </row>
    <row r="7" spans="1:7" s="11" customFormat="1" x14ac:dyDescent="0.15">
      <c r="A7" s="29"/>
      <c r="B7" s="29"/>
      <c r="C7" s="30" t="s">
        <v>41</v>
      </c>
      <c r="D7" s="20" t="s">
        <v>26</v>
      </c>
      <c r="E7" s="12" t="s">
        <v>64</v>
      </c>
      <c r="F7" s="20" t="s">
        <v>26</v>
      </c>
    </row>
    <row r="8" spans="1:7" x14ac:dyDescent="0.15">
      <c r="A8" s="31" t="s">
        <v>9</v>
      </c>
      <c r="B8" s="31"/>
      <c r="C8" s="32" t="s">
        <v>5</v>
      </c>
      <c r="D8" s="14" t="s">
        <v>38</v>
      </c>
      <c r="E8" s="1" t="s">
        <v>64</v>
      </c>
      <c r="F8" s="2" t="s">
        <v>29</v>
      </c>
    </row>
    <row r="9" spans="1:7" x14ac:dyDescent="0.15">
      <c r="A9" s="21"/>
      <c r="B9" s="21"/>
      <c r="C9" s="23" t="s">
        <v>42</v>
      </c>
      <c r="D9" s="1"/>
      <c r="E9" s="1" t="s">
        <v>64</v>
      </c>
      <c r="F9" s="7">
        <v>1399</v>
      </c>
    </row>
    <row r="10" spans="1:7" x14ac:dyDescent="0.15">
      <c r="A10" s="21"/>
      <c r="B10" s="21"/>
      <c r="C10" s="23" t="s">
        <v>43</v>
      </c>
      <c r="D10" s="1"/>
      <c r="E10" s="1" t="s">
        <v>64</v>
      </c>
      <c r="F10" s="8">
        <f>F9*155.9</f>
        <v>218104.1</v>
      </c>
    </row>
    <row r="11" spans="1:7" x14ac:dyDescent="0.15">
      <c r="A11" s="21"/>
      <c r="B11" s="21"/>
      <c r="C11" s="23" t="s">
        <v>44</v>
      </c>
      <c r="D11" s="1"/>
      <c r="E11" s="1" t="s">
        <v>64</v>
      </c>
      <c r="F11" s="3" t="s">
        <v>30</v>
      </c>
    </row>
    <row r="12" spans="1:7" x14ac:dyDescent="0.15">
      <c r="A12" s="21"/>
      <c r="B12" s="21"/>
      <c r="C12" s="23" t="s">
        <v>45</v>
      </c>
      <c r="D12" s="1"/>
      <c r="E12" s="1" t="s">
        <v>64</v>
      </c>
      <c r="F12" s="2">
        <v>16</v>
      </c>
    </row>
    <row r="13" spans="1:7" x14ac:dyDescent="0.15">
      <c r="A13" s="21"/>
      <c r="B13" s="21"/>
      <c r="C13" s="23" t="s">
        <v>46</v>
      </c>
      <c r="D13" s="1">
        <v>3.6</v>
      </c>
      <c r="E13" s="1" t="s">
        <v>64</v>
      </c>
      <c r="F13" s="2">
        <v>3.1</v>
      </c>
    </row>
    <row r="14" spans="1:7" s="11" customFormat="1" x14ac:dyDescent="0.15">
      <c r="A14" s="33"/>
      <c r="B14" s="33"/>
      <c r="C14" s="30" t="s">
        <v>47</v>
      </c>
      <c r="D14" s="12"/>
      <c r="E14" s="12" t="s">
        <v>64</v>
      </c>
      <c r="F14" s="10">
        <v>4.7</v>
      </c>
    </row>
    <row r="15" spans="1:7" x14ac:dyDescent="0.15">
      <c r="A15" s="31" t="s">
        <v>10</v>
      </c>
      <c r="B15" s="31"/>
      <c r="C15" s="32" t="s">
        <v>1</v>
      </c>
      <c r="D15" s="14" t="s">
        <v>37</v>
      </c>
      <c r="E15" s="1" t="s">
        <v>64</v>
      </c>
      <c r="F15" s="2" t="s">
        <v>31</v>
      </c>
    </row>
    <row r="16" spans="1:7" x14ac:dyDescent="0.15">
      <c r="A16" s="21"/>
      <c r="B16" s="21"/>
      <c r="C16" s="23" t="s">
        <v>48</v>
      </c>
      <c r="D16" s="1"/>
      <c r="E16" s="1" t="s">
        <v>64</v>
      </c>
      <c r="F16" s="7">
        <v>999</v>
      </c>
    </row>
    <row r="17" spans="1:6" x14ac:dyDescent="0.15">
      <c r="A17" s="21"/>
      <c r="B17" s="21"/>
      <c r="C17" s="23" t="s">
        <v>49</v>
      </c>
      <c r="D17" s="1"/>
      <c r="E17" s="1" t="s">
        <v>64</v>
      </c>
      <c r="F17" s="8">
        <f>F16*155.9</f>
        <v>155744.1</v>
      </c>
    </row>
    <row r="18" spans="1:6" x14ac:dyDescent="0.15">
      <c r="A18" s="21"/>
      <c r="B18" s="21"/>
      <c r="C18" s="23" t="s">
        <v>50</v>
      </c>
      <c r="D18" s="1"/>
      <c r="E18" s="1" t="s">
        <v>64</v>
      </c>
      <c r="F18" s="3" t="s">
        <v>32</v>
      </c>
    </row>
    <row r="19" spans="1:6" x14ac:dyDescent="0.15">
      <c r="A19" s="21"/>
      <c r="B19" s="21"/>
      <c r="C19" s="23" t="s">
        <v>51</v>
      </c>
      <c r="D19" s="1"/>
      <c r="E19" s="1" t="s">
        <v>64</v>
      </c>
      <c r="F19" s="2">
        <v>7.5</v>
      </c>
    </row>
    <row r="20" spans="1:6" x14ac:dyDescent="0.15">
      <c r="A20" s="21"/>
      <c r="B20" s="21"/>
      <c r="C20" s="23" t="s">
        <v>52</v>
      </c>
      <c r="D20" s="1">
        <v>11</v>
      </c>
      <c r="E20" s="1" t="s">
        <v>64</v>
      </c>
      <c r="F20" s="2">
        <v>11</v>
      </c>
    </row>
    <row r="21" spans="1:6" s="11" customFormat="1" x14ac:dyDescent="0.15">
      <c r="A21" s="33"/>
      <c r="B21" s="33"/>
      <c r="C21" s="30" t="s">
        <v>53</v>
      </c>
      <c r="D21" s="12"/>
      <c r="E21" s="12" t="s">
        <v>64</v>
      </c>
      <c r="F21" s="10">
        <v>4352</v>
      </c>
    </row>
    <row r="22" spans="1:6" ht="13.5" customHeight="1" x14ac:dyDescent="0.15">
      <c r="A22" s="28" t="s">
        <v>22</v>
      </c>
      <c r="B22" s="28"/>
      <c r="C22" s="23" t="s">
        <v>6</v>
      </c>
      <c r="D22" s="16" t="s">
        <v>35</v>
      </c>
      <c r="E22" s="1" t="s">
        <v>64</v>
      </c>
      <c r="F22" s="15" t="s">
        <v>33</v>
      </c>
    </row>
    <row r="23" spans="1:6" x14ac:dyDescent="0.15">
      <c r="A23" s="28"/>
      <c r="B23" s="28"/>
      <c r="C23" s="23" t="s">
        <v>54</v>
      </c>
      <c r="D23" s="1">
        <v>1</v>
      </c>
      <c r="E23" s="36">
        <v>2</v>
      </c>
      <c r="F23" s="2">
        <v>1</v>
      </c>
    </row>
    <row r="24" spans="1:6" x14ac:dyDescent="0.15">
      <c r="A24" s="28"/>
      <c r="B24" s="28"/>
      <c r="C24" s="23" t="s">
        <v>55</v>
      </c>
      <c r="D24" s="1">
        <v>6</v>
      </c>
      <c r="E24" s="1" t="s">
        <v>64</v>
      </c>
      <c r="F24" s="2">
        <v>8</v>
      </c>
    </row>
    <row r="25" spans="1:6" ht="15.75" thickBot="1" x14ac:dyDescent="0.2">
      <c r="A25" s="34"/>
      <c r="B25" s="34"/>
      <c r="C25" s="23" t="s">
        <v>56</v>
      </c>
      <c r="D25" s="1">
        <v>2</v>
      </c>
      <c r="E25" s="1" t="s">
        <v>64</v>
      </c>
      <c r="F25" s="2">
        <v>2</v>
      </c>
    </row>
    <row r="26" spans="1:6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6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0.29374233097769298</v>
      </c>
      <c r="F27" s="17">
        <v>2.4038511489634402</v>
      </c>
    </row>
    <row r="28" spans="1:6" x14ac:dyDescent="0.15">
      <c r="A28" s="21"/>
      <c r="B28" s="21"/>
      <c r="C28" s="23" t="s">
        <v>57</v>
      </c>
      <c r="D28" s="17">
        <v>0.38627594592981002</v>
      </c>
      <c r="E28" s="17">
        <v>0.41108131106011497</v>
      </c>
      <c r="F28" s="17">
        <v>29.7253813539864</v>
      </c>
    </row>
    <row r="29" spans="1:6" s="11" customFormat="1" x14ac:dyDescent="0.15">
      <c r="A29" s="21"/>
      <c r="B29" s="33"/>
      <c r="C29" s="30" t="s">
        <v>58</v>
      </c>
      <c r="D29" s="18">
        <v>1.7493289359845201</v>
      </c>
      <c r="E29" s="18">
        <v>3.7218914208933702</v>
      </c>
      <c r="F29" s="18">
        <v>2.1576455130125298</v>
      </c>
    </row>
    <row r="30" spans="1:6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12.375974343856701</v>
      </c>
      <c r="F30" s="17">
        <v>21.6080634089885</v>
      </c>
    </row>
    <row r="31" spans="1:6" x14ac:dyDescent="0.15">
      <c r="A31" s="21"/>
      <c r="B31" s="21"/>
      <c r="C31" s="23" t="s">
        <v>13</v>
      </c>
      <c r="D31" s="17">
        <v>9.1307565479073602</v>
      </c>
      <c r="E31" s="17">
        <v>5.0524217239581004</v>
      </c>
      <c r="F31" s="17">
        <v>10.5006086740177</v>
      </c>
    </row>
    <row r="32" spans="1:6" s="11" customFormat="1" x14ac:dyDescent="0.15">
      <c r="A32" s="21"/>
      <c r="B32" s="33"/>
      <c r="C32" s="30" t="s">
        <v>14</v>
      </c>
      <c r="D32" s="18">
        <v>44.075891631888197</v>
      </c>
      <c r="E32" s="18">
        <v>33.902424344094399</v>
      </c>
      <c r="F32" s="18">
        <v>24.461745104985301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0.74369219085201599</v>
      </c>
      <c r="F33" s="17">
        <v>0.78889504598919302</v>
      </c>
    </row>
    <row r="34" spans="1:6" x14ac:dyDescent="0.15">
      <c r="A34" s="21"/>
      <c r="B34" s="21"/>
      <c r="C34" s="23" t="s">
        <v>59</v>
      </c>
      <c r="D34" s="17">
        <v>1.28428710158914E-2</v>
      </c>
      <c r="E34" s="17">
        <v>4.9256070051342197E-3</v>
      </c>
      <c r="F34" s="17">
        <v>0.21750033501302801</v>
      </c>
    </row>
    <row r="35" spans="1:6" s="11" customFormat="1" x14ac:dyDescent="0.15">
      <c r="A35" s="21"/>
      <c r="B35" s="33"/>
      <c r="C35" s="30" t="s">
        <v>60</v>
      </c>
      <c r="D35" s="18">
        <v>4.5695638048928204</v>
      </c>
      <c r="E35" s="18">
        <v>4.6572331739589501</v>
      </c>
      <c r="F35" s="18">
        <v>13.952500746003301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64.886986307101296</v>
      </c>
      <c r="F36" s="17">
        <v>107.392583422013</v>
      </c>
    </row>
    <row r="37" spans="1:6" s="11" customFormat="1" x14ac:dyDescent="0.15">
      <c r="A37" s="33"/>
      <c r="B37" s="33"/>
      <c r="C37" s="30" t="s">
        <v>61</v>
      </c>
      <c r="D37" s="18">
        <v>101</v>
      </c>
      <c r="E37" s="18">
        <v>89</v>
      </c>
      <c r="F37" s="18">
        <v>186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/>
      <c r="F38" s="17">
        <v>2.4821481420076399</v>
      </c>
    </row>
    <row r="39" spans="1:6" x14ac:dyDescent="0.15">
      <c r="A39" s="21"/>
      <c r="B39" s="21"/>
      <c r="C39" s="23" t="s">
        <v>62</v>
      </c>
      <c r="D39" s="17">
        <v>0.40067043597809898</v>
      </c>
      <c r="E39" s="17"/>
      <c r="F39" s="17">
        <v>21.510927819996098</v>
      </c>
    </row>
    <row r="40" spans="1:6" s="11" customFormat="1" x14ac:dyDescent="0.15">
      <c r="A40" s="21"/>
      <c r="B40" s="33"/>
      <c r="C40" s="30" t="s">
        <v>58</v>
      </c>
      <c r="D40" s="18">
        <v>6.1337697948329097</v>
      </c>
      <c r="E40" s="18"/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/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/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/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/>
      <c r="F44" s="17">
        <v>3.1344263299833899</v>
      </c>
    </row>
    <row r="45" spans="1:6" x14ac:dyDescent="0.15">
      <c r="A45" s="21"/>
      <c r="B45" s="21"/>
      <c r="C45" s="23" t="s">
        <v>59</v>
      </c>
      <c r="D45" s="17">
        <v>4.6331230551004401E-3</v>
      </c>
      <c r="E45" s="17"/>
      <c r="F45" s="17">
        <v>0.15347997099161101</v>
      </c>
    </row>
    <row r="46" spans="1:6" s="11" customFormat="1" x14ac:dyDescent="0.15">
      <c r="A46" s="21"/>
      <c r="B46" s="33"/>
      <c r="C46" s="30" t="s">
        <v>63</v>
      </c>
      <c r="D46" s="18">
        <v>4.6424048559274498</v>
      </c>
      <c r="E46" s="18"/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/>
      <c r="F47" s="17">
        <v>206.98031143296899</v>
      </c>
    </row>
    <row r="48" spans="1:6" x14ac:dyDescent="0.15">
      <c r="A48" s="21"/>
      <c r="B48" s="21"/>
      <c r="C48" s="23" t="s">
        <v>61</v>
      </c>
      <c r="D48" s="17">
        <v>242</v>
      </c>
      <c r="E48" s="17"/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67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0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XFD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XFD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XFD1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XFD14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16:XFD16 F9:XFD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7:XFD17 F10:XFD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XFD1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XFD2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XFD2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XFD2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XFD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F16:XFD16 F9:XFD9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F17:XFD17 F10:XFD10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F25:XFD25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2025-12-14T22:07:58Z</dcterms:modified>
</cp:coreProperties>
</file>