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CT81SegApp\materials\"/>
    </mc:Choice>
  </mc:AlternateContent>
  <xr:revisionPtr revIDLastSave="0" documentId="13_ncr:1_{02E2D2B0-ABAA-45D9-836F-2EBF3C557F1E}" xr6:coauthVersionLast="47" xr6:coauthVersionMax="47" xr10:uidLastSave="{00000000-0000-0000-0000-000000000000}"/>
  <bookViews>
    <workbookView xWindow="-110" yWindow="-110" windowWidth="38620" windowHeight="21100" xr2:uid="{CC17635D-67C6-4E2B-BF5C-757E9F68C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J17" i="1"/>
  <c r="J10" i="1"/>
  <c r="H10" i="1"/>
  <c r="H17" i="1"/>
  <c r="D17" i="1"/>
  <c r="D10" i="1"/>
  <c r="F17" i="1"/>
  <c r="F10" i="1"/>
</calcChain>
</file>

<file path=xl/sharedStrings.xml><?xml version="1.0" encoding="utf-8"?>
<sst xmlns="http://schemas.openxmlformats.org/spreadsheetml/2006/main" count="216" uniqueCount="85">
  <si>
    <t>OS</t>
    <phoneticPr fontId="1"/>
  </si>
  <si>
    <t>GPU model</t>
    <phoneticPr fontId="1"/>
  </si>
  <si>
    <t>Person in charge</t>
    <phoneticPr fontId="1"/>
  </si>
  <si>
    <t>Gu</t>
  </si>
  <si>
    <t>Segmentation experiment runtime (s)</t>
  </si>
  <si>
    <t>CPU model</t>
  </si>
  <si>
    <t>Task disk drive type</t>
  </si>
  <si>
    <t>Machine type</t>
  </si>
  <si>
    <t>Machine detail</t>
  </si>
  <si>
    <t>CPU</t>
  </si>
  <si>
    <t>GPU</t>
  </si>
  <si>
    <t>Loading config</t>
  </si>
  <si>
    <t>Model Inference</t>
  </si>
  <si>
    <t>HU calculation</t>
  </si>
  <si>
    <t>Rendering report</t>
  </si>
  <si>
    <t>Saving labelmap</t>
  </si>
  <si>
    <t>Total</t>
  </si>
  <si>
    <t>Downsampled
CT
(487 slices)</t>
  </si>
  <si>
    <t>Original
CT
(1945 slices)</t>
  </si>
  <si>
    <t>Loading</t>
  </si>
  <si>
    <t>Running</t>
  </si>
  <si>
    <t>Saving</t>
  </si>
  <si>
    <t>Task setting</t>
  </si>
  <si>
    <t>Machine enviroment</t>
  </si>
  <si>
    <t>Workstation</t>
  </si>
  <si>
    <t>Windows 11 Edu</t>
  </si>
  <si>
    <t>Ubuntu 24.04</t>
  </si>
  <si>
    <t>Virtual machine Platform</t>
  </si>
  <si>
    <t>WSL Singularity</t>
  </si>
  <si>
    <t>Intel Xeon w5-2465X</t>
  </si>
  <si>
    <t>2023/2</t>
  </si>
  <si>
    <t>2018/9</t>
  </si>
  <si>
    <t>SATA HDD</t>
  </si>
  <si>
    <t>NVMe SSD</t>
  </si>
  <si>
    <t>Singularity</t>
  </si>
  <si>
    <t>Intel Xeon CPU E5-1650 v4</t>
  </si>
  <si>
    <t>Machine 1 (orca)</t>
  </si>
  <si>
    <r>
      <rPr>
        <sz val="11"/>
        <color theme="0" tint="-0.34998626667073579"/>
        <rFont val="Aptos Display"/>
        <family val="2"/>
        <scheme val="major"/>
      </rPr>
      <t xml:space="preserve">Virtual </t>
    </r>
    <r>
      <rPr>
        <sz val="11"/>
        <color theme="1"/>
        <rFont val="Aptos Display"/>
        <family val="2"/>
        <scheme val="major"/>
      </rPr>
      <t>OS</t>
    </r>
  </si>
  <si>
    <r>
      <rPr>
        <sz val="11"/>
        <color theme="0" tint="-0.34998626667073579"/>
        <rFont val="Aptos Display"/>
        <family val="2"/>
        <scheme val="major"/>
      </rPr>
      <t>CPU</t>
    </r>
    <r>
      <rPr>
        <sz val="11"/>
        <color theme="1"/>
        <rFont val="Aptos Display"/>
        <family val="2"/>
        <scheme val="major"/>
      </rPr>
      <t xml:space="preserve"> launch price (USD)</t>
    </r>
  </si>
  <si>
    <r>
      <rPr>
        <sz val="11"/>
        <color theme="0" tint="-0.34998626667073579"/>
        <rFont val="Aptos Display"/>
        <family val="2"/>
        <scheme val="major"/>
      </rPr>
      <t>CPU launch price</t>
    </r>
    <r>
      <rPr>
        <sz val="11"/>
        <color theme="1"/>
        <rFont val="Aptos Display"/>
        <family val="2"/>
        <scheme val="major"/>
      </rPr>
      <t xml:space="preserve"> (JPY)</t>
    </r>
  </si>
  <si>
    <r>
      <rPr>
        <sz val="11"/>
        <color theme="0" tint="-0.34998626667073579"/>
        <rFont val="Aptos Display"/>
        <family val="2"/>
        <scheme val="major"/>
      </rPr>
      <t>CPU launch</t>
    </r>
    <r>
      <rPr>
        <sz val="11"/>
        <color theme="1"/>
        <rFont val="Aptos Display"/>
        <family val="2"/>
        <scheme val="major"/>
      </rPr>
      <t xml:space="preserve"> date</t>
    </r>
  </si>
  <si>
    <r>
      <rPr>
        <sz val="11"/>
        <color theme="0" tint="-0.34998626667073579"/>
        <rFont val="Aptos Display"/>
        <family val="2"/>
        <scheme val="major"/>
      </rPr>
      <t>CPU</t>
    </r>
    <r>
      <rPr>
        <sz val="11"/>
        <color theme="1"/>
        <rFont val="Aptos Display"/>
        <family val="2"/>
        <scheme val="major"/>
      </rPr>
      <t xml:space="preserve"> cores</t>
    </r>
  </si>
  <si>
    <r>
      <rPr>
        <sz val="11"/>
        <color theme="0" tint="-0.34998626667073579"/>
        <rFont val="Aptos Display"/>
        <family val="2"/>
        <scheme val="major"/>
      </rPr>
      <t xml:space="preserve">CPU </t>
    </r>
    <r>
      <rPr>
        <sz val="11"/>
        <color theme="1"/>
        <rFont val="Aptos Display"/>
        <family val="2"/>
        <scheme val="major"/>
      </rPr>
      <t>base frequency (GHz)</t>
    </r>
  </si>
  <si>
    <r>
      <rPr>
        <sz val="11"/>
        <color theme="0" tint="-0.34998626667073579"/>
        <rFont val="Aptos Display"/>
        <family val="2"/>
        <scheme val="major"/>
      </rPr>
      <t xml:space="preserve">CPU </t>
    </r>
    <r>
      <rPr>
        <sz val="11"/>
        <color theme="1"/>
        <rFont val="Aptos Display"/>
        <family val="2"/>
        <scheme val="major"/>
      </rPr>
      <t>Max Turbo Frequency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</si>
  <si>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launch price (USD)</t>
    </r>
  </si>
  <si>
    <r>
      <rPr>
        <sz val="11"/>
        <color theme="0" tint="-0.34998626667073579"/>
        <rFont val="Aptos Display"/>
        <family val="2"/>
        <scheme val="major"/>
      </rPr>
      <t>GPU launch price</t>
    </r>
    <r>
      <rPr>
        <sz val="11"/>
        <color theme="1"/>
        <rFont val="Aptos Display"/>
        <family val="2"/>
        <scheme val="major"/>
      </rPr>
      <t xml:space="preserve"> (JPY)</t>
    </r>
  </si>
  <si>
    <r>
      <rPr>
        <sz val="11"/>
        <color theme="0" tint="-0.34998626667073579"/>
        <rFont val="Aptos Display"/>
        <family val="2"/>
        <scheme val="major"/>
      </rPr>
      <t xml:space="preserve">GPU launch </t>
    </r>
    <r>
      <rPr>
        <sz val="11"/>
        <color theme="1"/>
        <rFont val="Aptos Display"/>
        <family val="2"/>
        <scheme val="major"/>
      </rPr>
      <t>date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</si>
  <si>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Compute Capability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</si>
  <si>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memory (GB)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</si>
  <si>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# of CUDA cores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</si>
  <si>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# of GPUs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</si>
  <si>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# of cores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</si>
  <si>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batch size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</si>
  <si>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0" tint="-0.499984740745262"/>
        <rFont val="Aptos Display"/>
        <family val="2"/>
        <scheme val="major"/>
      </rPr>
      <t xml:space="preserve"> </t>
    </r>
    <r>
      <rPr>
        <sz val="11"/>
        <color theme="1"/>
        <rFont val="Aptos Display"/>
        <family val="2"/>
        <scheme val="major"/>
      </rPr>
      <t>model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</si>
  <si>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1"/>
        <rFont val="Aptos Display"/>
        <family val="2"/>
        <scheme val="major"/>
      </rPr>
      <t xml:space="preserve"> image</t>
    </r>
  </si>
  <si>
    <r>
      <rPr>
        <sz val="11"/>
        <color theme="0" tint="-0.34998626667073579"/>
        <rFont val="Aptos Display"/>
        <family val="2"/>
        <scheme val="major"/>
      </rPr>
      <t xml:space="preserve">Saving </t>
    </r>
    <r>
      <rPr>
        <sz val="11"/>
        <color theme="1"/>
        <rFont val="Aptos Display"/>
        <family val="2"/>
        <scheme val="major"/>
      </rPr>
      <t>HU table</t>
    </r>
  </si>
  <si>
    <r>
      <rPr>
        <sz val="11"/>
        <color theme="0" tint="-0.34998626667073579"/>
        <rFont val="Aptos Display"/>
        <family val="2"/>
        <scheme val="major"/>
      </rPr>
      <t>Saving</t>
    </r>
    <r>
      <rPr>
        <sz val="11"/>
        <color theme="1"/>
        <rFont val="Aptos Display"/>
        <family val="2"/>
        <scheme val="major"/>
      </rPr>
      <t xml:space="preserve"> report</t>
    </r>
  </si>
  <si>
    <r>
      <rPr>
        <sz val="11"/>
        <color theme="0" tint="-0.34998626667073579"/>
        <rFont val="Aptos Display"/>
        <family val="2"/>
        <scheme val="major"/>
      </rPr>
      <t xml:space="preserve">Total </t>
    </r>
    <r>
      <rPr>
        <sz val="11"/>
        <color theme="1"/>
        <rFont val="Aptos Display"/>
        <family val="2"/>
        <scheme val="major"/>
      </rPr>
      <t>including env setup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</si>
  <si>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1"/>
        <rFont val="Aptos Display"/>
        <family val="2"/>
        <scheme val="major"/>
      </rPr>
      <t xml:space="preserve"> model</t>
    </r>
  </si>
  <si>
    <r>
      <rPr>
        <sz val="11"/>
        <color theme="0" tint="-0.34998626667073579"/>
        <rFont val="Aptos Display"/>
        <family val="2"/>
        <scheme val="major"/>
      </rPr>
      <t xml:space="preserve">Saving </t>
    </r>
    <r>
      <rPr>
        <sz val="11"/>
        <color theme="1"/>
        <rFont val="Aptos Display"/>
        <family val="2"/>
        <scheme val="major"/>
      </rPr>
      <t>report</t>
    </r>
  </si>
  <si>
    <t>&lt;-</t>
  </si>
  <si>
    <t>2016/6</t>
  </si>
  <si>
    <t>OOM</t>
  </si>
  <si>
    <t>/</t>
  </si>
  <si>
    <t>2017/2</t>
  </si>
  <si>
    <t>Intel Xeon w5-2455X</t>
  </si>
  <si>
    <t>2023/9</t>
  </si>
  <si>
    <t>Sever</t>
  </si>
  <si>
    <t>SATA SSD</t>
  </si>
  <si>
    <t>Machine 2 (devonrex)</t>
  </si>
  <si>
    <t>AMD EPYC 9454</t>
  </si>
  <si>
    <t>2022/11</t>
  </si>
  <si>
    <t>2022/12</t>
  </si>
  <si>
    <t>Machine3 (orange)</t>
  </si>
  <si>
    <t>Machine 4 (toyger)</t>
  </si>
  <si>
    <t>Machine 5 (pampascat)</t>
  </si>
  <si>
    <t>Laptop</t>
  </si>
  <si>
    <t>Windows 11 Pro</t>
  </si>
  <si>
    <t>Intel Core i9-13980HX</t>
  </si>
  <si>
    <t>2023/1</t>
  </si>
  <si>
    <t>RTX 4090 Laptop</t>
  </si>
  <si>
    <t>RTX 2080ti</t>
  </si>
  <si>
    <t>RTX 1080ti</t>
  </si>
  <si>
    <t>RTX A4500 Ada</t>
  </si>
  <si>
    <t>RTX A6000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</si>
</sst>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¥-411]#,##0"/>
  </numFmts>
  <fonts count="10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34998626667073579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3" borderId="0" xfId="2" applyAlignment="1">
      <alignment horizontal="center" vertical="center"/>
    </xf>
    <xf numFmtId="0" fontId="4" fillId="3" borderId="0" xfId="2" applyAlignment="1">
      <alignment horizontal="center" vertical="center" wrapText="1"/>
    </xf>
    <xf numFmtId="0" fontId="3" fillId="2" borderId="0" xfId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0" fillId="0" borderId="4" xfId="0" applyNumberFormat="1" applyBorder="1" applyAlignment="1">
      <alignment horizontal="right" vertical="center" wrapText="1"/>
    </xf>
    <xf numFmtId="0" fontId="5" fillId="4" borderId="0" xfId="3" applyAlignment="1">
      <alignment horizontal="center" vertical="center"/>
    </xf>
    <xf numFmtId="0" fontId="3" fillId="2" borderId="4" xfId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" fontId="0" fillId="0" borderId="4" xfId="0" applyNumberFormat="1" applyBorder="1">
      <alignment vertical="center"/>
    </xf>
    <xf numFmtId="2" fontId="0" fillId="0" borderId="0" xfId="0" applyNumberForma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C41F-649F-411D-8D32-F880ADA04FFA}">
  <dimension ref="A1:L48"/>
  <sheetViews>
    <sheetView tabSelected="1" zoomScaleNormal="100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M32" sqref="M32"/>
    </sheetView>
  </sheetViews>
  <sheetFormatPr defaultColWidth="8.90625" defaultRowHeight="14.5" x14ac:dyDescent="0.2"/>
  <cols>
    <col min="1" max="1" width="13.08984375" style="21" customWidth="1"/>
    <col min="2" max="2" width="8.36328125" style="21" customWidth="1"/>
    <col min="3" max="3" width="22.26953125" style="21" customWidth="1"/>
    <col min="4" max="29" width="24" customWidth="1"/>
  </cols>
  <sheetData>
    <row r="1" spans="1:12" s="21" customFormat="1" x14ac:dyDescent="0.2">
      <c r="A1" s="29"/>
      <c r="B1" s="29"/>
      <c r="C1" s="29"/>
      <c r="D1" s="20" t="s">
        <v>36</v>
      </c>
      <c r="E1" s="1" t="s">
        <v>60</v>
      </c>
      <c r="F1" s="20" t="s">
        <v>69</v>
      </c>
      <c r="G1" s="20" t="s">
        <v>73</v>
      </c>
      <c r="H1" s="20" t="s">
        <v>74</v>
      </c>
      <c r="I1" s="1" t="s">
        <v>60</v>
      </c>
      <c r="J1" s="20" t="s">
        <v>75</v>
      </c>
      <c r="K1" s="1" t="s">
        <v>60</v>
      </c>
      <c r="L1" s="1" t="s">
        <v>60</v>
      </c>
    </row>
    <row r="2" spans="1:12" s="20" customFormat="1" ht="15" thickBot="1" x14ac:dyDescent="0.25">
      <c r="A2" s="31" t="s">
        <v>2</v>
      </c>
      <c r="B2" s="31"/>
      <c r="C2" s="31"/>
      <c r="D2" s="20" t="s">
        <v>3</v>
      </c>
      <c r="E2" s="1" t="s">
        <v>60</v>
      </c>
      <c r="F2" s="20" t="s">
        <v>3</v>
      </c>
      <c r="H2" s="20" t="s">
        <v>3</v>
      </c>
      <c r="I2" s="1" t="s">
        <v>60</v>
      </c>
      <c r="J2" s="20" t="s">
        <v>3</v>
      </c>
      <c r="K2" s="1" t="s">
        <v>60</v>
      </c>
      <c r="L2" s="1" t="s">
        <v>60</v>
      </c>
    </row>
    <row r="3" spans="1:12" s="5" customFormat="1" ht="15" thickBot="1" x14ac:dyDescent="0.25">
      <c r="A3" s="32" t="s">
        <v>8</v>
      </c>
      <c r="B3" s="32"/>
      <c r="C3" s="32"/>
      <c r="D3" s="9"/>
      <c r="E3" s="9"/>
      <c r="F3" s="4"/>
      <c r="G3" s="4"/>
    </row>
    <row r="4" spans="1:12" s="1" customFormat="1" ht="15.75" customHeight="1" thickTop="1" x14ac:dyDescent="0.2">
      <c r="A4" s="28" t="s">
        <v>23</v>
      </c>
      <c r="B4" s="28"/>
      <c r="C4" s="22" t="s">
        <v>7</v>
      </c>
      <c r="D4" s="18" t="s">
        <v>24</v>
      </c>
      <c r="E4" s="1" t="s">
        <v>60</v>
      </c>
      <c r="F4" s="18" t="s">
        <v>24</v>
      </c>
      <c r="G4" s="13" t="s">
        <v>76</v>
      </c>
      <c r="H4" s="18" t="s">
        <v>24</v>
      </c>
      <c r="I4" s="1" t="s">
        <v>60</v>
      </c>
      <c r="J4" s="15" t="s">
        <v>67</v>
      </c>
      <c r="K4" s="1" t="s">
        <v>60</v>
      </c>
      <c r="L4" s="1" t="s">
        <v>60</v>
      </c>
    </row>
    <row r="5" spans="1:12" s="1" customFormat="1" x14ac:dyDescent="0.2">
      <c r="A5" s="26"/>
      <c r="B5" s="26"/>
      <c r="C5" s="21" t="s">
        <v>0</v>
      </c>
      <c r="D5" s="15" t="s">
        <v>26</v>
      </c>
      <c r="E5" s="1" t="s">
        <v>60</v>
      </c>
      <c r="F5" s="14" t="s">
        <v>25</v>
      </c>
      <c r="G5" s="14" t="s">
        <v>77</v>
      </c>
      <c r="H5" s="15" t="s">
        <v>26</v>
      </c>
      <c r="I5" s="1" t="s">
        <v>60</v>
      </c>
      <c r="J5" s="15" t="s">
        <v>26</v>
      </c>
      <c r="K5" s="1" t="s">
        <v>60</v>
      </c>
      <c r="L5" s="1" t="s">
        <v>60</v>
      </c>
    </row>
    <row r="6" spans="1:12" s="1" customFormat="1" x14ac:dyDescent="0.2">
      <c r="A6" s="26"/>
      <c r="B6" s="26"/>
      <c r="C6" s="21" t="s">
        <v>27</v>
      </c>
      <c r="D6" s="15" t="s">
        <v>34</v>
      </c>
      <c r="E6" s="1" t="s">
        <v>60</v>
      </c>
      <c r="F6" s="13" t="s">
        <v>28</v>
      </c>
      <c r="G6" s="13" t="s">
        <v>28</v>
      </c>
      <c r="H6" s="15" t="s">
        <v>34</v>
      </c>
      <c r="I6" s="1" t="s">
        <v>60</v>
      </c>
      <c r="J6" s="15" t="s">
        <v>34</v>
      </c>
      <c r="K6" s="1" t="s">
        <v>60</v>
      </c>
      <c r="L6" s="1" t="s">
        <v>60</v>
      </c>
    </row>
    <row r="7" spans="1:12" s="12" customFormat="1" x14ac:dyDescent="0.2">
      <c r="A7" s="35"/>
      <c r="B7" s="35"/>
      <c r="C7" s="23" t="s">
        <v>37</v>
      </c>
      <c r="D7" s="19" t="s">
        <v>26</v>
      </c>
      <c r="E7" s="12" t="s">
        <v>60</v>
      </c>
      <c r="F7" s="19" t="s">
        <v>26</v>
      </c>
      <c r="G7" s="19" t="s">
        <v>26</v>
      </c>
      <c r="H7" s="19" t="s">
        <v>26</v>
      </c>
      <c r="I7" s="12" t="s">
        <v>60</v>
      </c>
      <c r="J7" s="19" t="s">
        <v>26</v>
      </c>
      <c r="K7" s="12" t="s">
        <v>60</v>
      </c>
      <c r="L7" s="12" t="s">
        <v>60</v>
      </c>
    </row>
    <row r="8" spans="1:12" s="1" customFormat="1" x14ac:dyDescent="0.2">
      <c r="A8" s="34" t="s">
        <v>9</v>
      </c>
      <c r="B8" s="34"/>
      <c r="C8" s="21" t="s">
        <v>5</v>
      </c>
      <c r="D8" s="1" t="s">
        <v>35</v>
      </c>
      <c r="E8" s="1" t="s">
        <v>60</v>
      </c>
      <c r="F8" s="2" t="s">
        <v>29</v>
      </c>
      <c r="G8" s="2" t="s">
        <v>78</v>
      </c>
      <c r="H8" s="1" t="s">
        <v>65</v>
      </c>
      <c r="I8" s="1" t="s">
        <v>60</v>
      </c>
      <c r="J8" s="1" t="s">
        <v>70</v>
      </c>
      <c r="K8" s="1" t="s">
        <v>60</v>
      </c>
      <c r="L8" s="1" t="s">
        <v>60</v>
      </c>
    </row>
    <row r="9" spans="1:12" s="1" customFormat="1" x14ac:dyDescent="0.2">
      <c r="A9" s="29"/>
      <c r="B9" s="29"/>
      <c r="C9" s="21" t="s">
        <v>38</v>
      </c>
      <c r="D9" s="7">
        <v>621</v>
      </c>
      <c r="E9" s="1" t="s">
        <v>60</v>
      </c>
      <c r="F9" s="7">
        <v>1399</v>
      </c>
      <c r="G9" s="7">
        <v>668</v>
      </c>
      <c r="H9" s="7">
        <v>1039</v>
      </c>
      <c r="I9" s="1" t="s">
        <v>60</v>
      </c>
      <c r="J9" s="7">
        <v>5225</v>
      </c>
      <c r="K9" s="1" t="s">
        <v>60</v>
      </c>
      <c r="L9" s="1" t="s">
        <v>60</v>
      </c>
    </row>
    <row r="10" spans="1:12" s="1" customFormat="1" x14ac:dyDescent="0.2">
      <c r="A10" s="29"/>
      <c r="B10" s="29"/>
      <c r="C10" s="21" t="s">
        <v>39</v>
      </c>
      <c r="D10" s="8">
        <f>D9*155.9</f>
        <v>96813.900000000009</v>
      </c>
      <c r="E10" s="1" t="s">
        <v>60</v>
      </c>
      <c r="F10" s="8">
        <f>F9*155.9</f>
        <v>218104.1</v>
      </c>
      <c r="G10" s="8">
        <f>G9*155.9</f>
        <v>104141.2</v>
      </c>
      <c r="H10" s="8">
        <f>H9*155.9</f>
        <v>161980.1</v>
      </c>
      <c r="I10" s="1" t="s">
        <v>60</v>
      </c>
      <c r="J10" s="8">
        <f>J9*155.9</f>
        <v>814577.5</v>
      </c>
      <c r="K10" s="1" t="s">
        <v>60</v>
      </c>
      <c r="L10" s="1" t="s">
        <v>60</v>
      </c>
    </row>
    <row r="11" spans="1:12" s="1" customFormat="1" x14ac:dyDescent="0.2">
      <c r="A11" s="29"/>
      <c r="B11" s="29"/>
      <c r="C11" s="21" t="s">
        <v>40</v>
      </c>
      <c r="D11" s="1" t="s">
        <v>61</v>
      </c>
      <c r="E11" s="1" t="s">
        <v>60</v>
      </c>
      <c r="F11" s="3" t="s">
        <v>30</v>
      </c>
      <c r="G11" s="3" t="s">
        <v>79</v>
      </c>
      <c r="H11" s="1" t="s">
        <v>30</v>
      </c>
      <c r="I11" s="1" t="s">
        <v>60</v>
      </c>
      <c r="J11" s="1" t="s">
        <v>71</v>
      </c>
      <c r="K11" s="1" t="s">
        <v>60</v>
      </c>
      <c r="L11" s="1" t="s">
        <v>60</v>
      </c>
    </row>
    <row r="12" spans="1:12" s="1" customFormat="1" x14ac:dyDescent="0.2">
      <c r="A12" s="29"/>
      <c r="B12" s="29"/>
      <c r="C12" s="21" t="s">
        <v>41</v>
      </c>
      <c r="D12" s="1">
        <v>6</v>
      </c>
      <c r="E12" s="1" t="s">
        <v>60</v>
      </c>
      <c r="F12" s="2">
        <v>16</v>
      </c>
      <c r="G12" s="2">
        <v>32</v>
      </c>
      <c r="H12" s="1">
        <v>24</v>
      </c>
      <c r="I12" s="1" t="s">
        <v>60</v>
      </c>
      <c r="J12" s="1">
        <v>48</v>
      </c>
      <c r="K12" s="1" t="s">
        <v>60</v>
      </c>
      <c r="L12" s="1" t="s">
        <v>60</v>
      </c>
    </row>
    <row r="13" spans="1:12" s="1" customFormat="1" x14ac:dyDescent="0.2">
      <c r="A13" s="29"/>
      <c r="B13" s="29"/>
      <c r="C13" s="21" t="s">
        <v>42</v>
      </c>
      <c r="D13" s="1">
        <v>3.6</v>
      </c>
      <c r="E13" s="1" t="s">
        <v>60</v>
      </c>
      <c r="F13" s="2">
        <v>3.1</v>
      </c>
      <c r="G13" s="2">
        <v>2.2000000000000002</v>
      </c>
      <c r="H13" s="1">
        <v>3.2</v>
      </c>
      <c r="I13" s="1" t="s">
        <v>60</v>
      </c>
      <c r="J13" s="1">
        <v>2.75</v>
      </c>
      <c r="K13" s="1" t="s">
        <v>60</v>
      </c>
      <c r="L13" s="1" t="s">
        <v>60</v>
      </c>
    </row>
    <row r="14" spans="1:12" s="12" customFormat="1" x14ac:dyDescent="0.2">
      <c r="A14" s="30"/>
      <c r="B14" s="30"/>
      <c r="C14" s="23" t="s">
        <v>43</v>
      </c>
      <c r="D14" s="12">
        <v>4</v>
      </c>
      <c r="E14" s="12" t="s">
        <v>60</v>
      </c>
      <c r="F14" s="10">
        <v>4.7</v>
      </c>
      <c r="G14" s="10">
        <v>5.6</v>
      </c>
      <c r="H14" s="12">
        <v>4.5999999999999996</v>
      </c>
      <c r="I14" s="12" t="s">
        <v>60</v>
      </c>
      <c r="J14" s="12">
        <v>3.8</v>
      </c>
      <c r="K14" s="12" t="s">
        <v>60</v>
      </c>
      <c r="L14" s="12" t="s">
        <v>60</v>
      </c>
    </row>
    <row r="15" spans="1:12" s="1" customFormat="1" x14ac:dyDescent="0.2">
      <c r="A15" s="34" t="s">
        <v>10</v>
      </c>
      <c r="B15" s="34"/>
      <c r="C15" s="21" t="s">
        <v>1</v>
      </c>
      <c r="D15" s="1" t="s">
        <v>82</v>
      </c>
      <c r="E15" s="1" t="s">
        <v>60</v>
      </c>
      <c r="F15" s="2" t="s">
        <v>81</v>
      </c>
      <c r="G15" s="2" t="s">
        <v>80</v>
      </c>
      <c r="H15" s="1" t="s">
        <v>83</v>
      </c>
      <c r="I15" s="1" t="s">
        <v>60</v>
      </c>
      <c r="J15" s="1" t="s">
        <v>84</v>
      </c>
      <c r="K15" s="1" t="s">
        <v>60</v>
      </c>
      <c r="L15" s="1" t="s">
        <v>60</v>
      </c>
    </row>
    <row r="16" spans="1:12" s="1" customFormat="1" x14ac:dyDescent="0.2">
      <c r="A16" s="29"/>
      <c r="B16" s="29"/>
      <c r="C16" s="21" t="s">
        <v>44</v>
      </c>
      <c r="D16" s="7">
        <v>699</v>
      </c>
      <c r="E16" s="1" t="s">
        <v>60</v>
      </c>
      <c r="F16" s="7">
        <v>999</v>
      </c>
      <c r="G16" s="7" t="s">
        <v>63</v>
      </c>
      <c r="H16" s="7">
        <v>2250</v>
      </c>
      <c r="I16" s="1" t="s">
        <v>60</v>
      </c>
      <c r="J16" s="7">
        <v>6799</v>
      </c>
      <c r="K16" s="1" t="s">
        <v>60</v>
      </c>
      <c r="L16" s="1" t="s">
        <v>60</v>
      </c>
    </row>
    <row r="17" spans="1:12" s="1" customFormat="1" x14ac:dyDescent="0.2">
      <c r="A17" s="29"/>
      <c r="B17" s="29"/>
      <c r="C17" s="21" t="s">
        <v>45</v>
      </c>
      <c r="D17" s="8">
        <f>D16*155.9</f>
        <v>108974.1</v>
      </c>
      <c r="E17" s="1" t="s">
        <v>60</v>
      </c>
      <c r="F17" s="8">
        <f>F16*155.9</f>
        <v>155744.1</v>
      </c>
      <c r="G17" s="8" t="s">
        <v>63</v>
      </c>
      <c r="H17" s="8">
        <f>H16*155.9</f>
        <v>350775</v>
      </c>
      <c r="I17" s="1" t="s">
        <v>60</v>
      </c>
      <c r="J17" s="8">
        <f>J16*155.9</f>
        <v>1059964.1000000001</v>
      </c>
      <c r="K17" s="1" t="s">
        <v>60</v>
      </c>
      <c r="L17" s="1" t="s">
        <v>60</v>
      </c>
    </row>
    <row r="18" spans="1:12" s="1" customFormat="1" x14ac:dyDescent="0.2">
      <c r="A18" s="29"/>
      <c r="B18" s="29"/>
      <c r="C18" s="21" t="s">
        <v>46</v>
      </c>
      <c r="D18" s="1" t="s">
        <v>64</v>
      </c>
      <c r="E18" s="1" t="s">
        <v>60</v>
      </c>
      <c r="F18" s="3" t="s">
        <v>31</v>
      </c>
      <c r="G18" s="3" t="s">
        <v>30</v>
      </c>
      <c r="H18" s="1" t="s">
        <v>66</v>
      </c>
      <c r="I18" s="1" t="s">
        <v>60</v>
      </c>
      <c r="J18" s="1" t="s">
        <v>72</v>
      </c>
      <c r="K18" s="1" t="s">
        <v>60</v>
      </c>
      <c r="L18" s="1" t="s">
        <v>60</v>
      </c>
    </row>
    <row r="19" spans="1:12" s="1" customFormat="1" x14ac:dyDescent="0.2">
      <c r="A19" s="29"/>
      <c r="B19" s="29"/>
      <c r="C19" s="21" t="s">
        <v>47</v>
      </c>
      <c r="D19" s="1">
        <v>6.1</v>
      </c>
      <c r="E19" s="1" t="s">
        <v>60</v>
      </c>
      <c r="F19" s="2">
        <v>7.5</v>
      </c>
      <c r="G19" s="2">
        <v>8.9</v>
      </c>
      <c r="H19" s="1">
        <v>8.9</v>
      </c>
      <c r="I19" s="1" t="s">
        <v>60</v>
      </c>
      <c r="J19" s="1">
        <v>8.9</v>
      </c>
      <c r="K19" s="1" t="s">
        <v>60</v>
      </c>
      <c r="L19" s="1" t="s">
        <v>60</v>
      </c>
    </row>
    <row r="20" spans="1:12" s="1" customFormat="1" x14ac:dyDescent="0.2">
      <c r="A20" s="29"/>
      <c r="B20" s="29"/>
      <c r="C20" s="21" t="s">
        <v>48</v>
      </c>
      <c r="D20" s="1">
        <v>11</v>
      </c>
      <c r="E20" s="1" t="s">
        <v>60</v>
      </c>
      <c r="F20" s="2">
        <v>11</v>
      </c>
      <c r="G20" s="2">
        <v>16</v>
      </c>
      <c r="H20" s="1">
        <v>24</v>
      </c>
      <c r="I20" s="1" t="s">
        <v>60</v>
      </c>
      <c r="J20" s="1">
        <v>48</v>
      </c>
      <c r="K20" s="1" t="s">
        <v>60</v>
      </c>
      <c r="L20" s="1" t="s">
        <v>60</v>
      </c>
    </row>
    <row r="21" spans="1:12" s="12" customFormat="1" x14ac:dyDescent="0.2">
      <c r="A21" s="30"/>
      <c r="B21" s="30"/>
      <c r="C21" s="23" t="s">
        <v>49</v>
      </c>
      <c r="D21" s="12">
        <v>3584</v>
      </c>
      <c r="E21" s="12" t="s">
        <v>60</v>
      </c>
      <c r="F21" s="10">
        <v>4352</v>
      </c>
      <c r="G21" s="10">
        <v>9728</v>
      </c>
      <c r="H21" s="12">
        <v>7680</v>
      </c>
      <c r="I21" s="12" t="s">
        <v>60</v>
      </c>
      <c r="J21" s="12">
        <v>18176</v>
      </c>
      <c r="K21" s="12" t="s">
        <v>60</v>
      </c>
      <c r="L21" s="12" t="s">
        <v>60</v>
      </c>
    </row>
    <row r="22" spans="1:12" s="1" customFormat="1" ht="13.5" customHeight="1" x14ac:dyDescent="0.2">
      <c r="A22" s="26" t="s">
        <v>22</v>
      </c>
      <c r="B22" s="26"/>
      <c r="C22" s="21" t="s">
        <v>6</v>
      </c>
      <c r="D22" s="15" t="s">
        <v>33</v>
      </c>
      <c r="E22" s="1" t="s">
        <v>60</v>
      </c>
      <c r="F22" s="14" t="s">
        <v>32</v>
      </c>
      <c r="G22" s="15" t="s">
        <v>33</v>
      </c>
      <c r="H22" s="15" t="s">
        <v>33</v>
      </c>
      <c r="I22" s="1" t="s">
        <v>60</v>
      </c>
      <c r="J22" s="18" t="s">
        <v>68</v>
      </c>
      <c r="K22" s="1" t="s">
        <v>60</v>
      </c>
      <c r="L22" s="1" t="s">
        <v>60</v>
      </c>
    </row>
    <row r="23" spans="1:12" s="1" customFormat="1" x14ac:dyDescent="0.2">
      <c r="A23" s="26"/>
      <c r="B23" s="26"/>
      <c r="C23" s="21" t="s">
        <v>50</v>
      </c>
      <c r="D23" s="1">
        <v>1</v>
      </c>
      <c r="E23" s="1">
        <v>2</v>
      </c>
      <c r="F23" s="1">
        <v>1</v>
      </c>
      <c r="H23" s="1">
        <v>1</v>
      </c>
      <c r="I23" s="1">
        <v>2</v>
      </c>
      <c r="J23" s="1">
        <v>1</v>
      </c>
      <c r="K23" s="1">
        <v>2</v>
      </c>
      <c r="L23" s="1">
        <v>8</v>
      </c>
    </row>
    <row r="24" spans="1:12" s="1" customFormat="1" x14ac:dyDescent="0.2">
      <c r="A24" s="26"/>
      <c r="B24" s="26"/>
      <c r="C24" s="21" t="s">
        <v>51</v>
      </c>
      <c r="D24" s="1">
        <v>6</v>
      </c>
      <c r="E24" s="1" t="s">
        <v>60</v>
      </c>
      <c r="F24" s="2">
        <v>8</v>
      </c>
      <c r="G24" s="2"/>
      <c r="H24" s="1">
        <v>8</v>
      </c>
      <c r="I24" s="1" t="s">
        <v>60</v>
      </c>
      <c r="J24" s="1">
        <v>8</v>
      </c>
      <c r="K24" s="1" t="s">
        <v>60</v>
      </c>
      <c r="L24" s="1" t="s">
        <v>60</v>
      </c>
    </row>
    <row r="25" spans="1:12" s="1" customFormat="1" ht="15" thickBot="1" x14ac:dyDescent="0.25">
      <c r="A25" s="27"/>
      <c r="B25" s="27"/>
      <c r="C25" s="21" t="s">
        <v>52</v>
      </c>
      <c r="D25" s="1">
        <v>2</v>
      </c>
      <c r="E25" s="1" t="s">
        <v>60</v>
      </c>
      <c r="F25" s="2">
        <v>2</v>
      </c>
      <c r="G25" s="2"/>
      <c r="H25" s="1">
        <v>2</v>
      </c>
      <c r="I25" s="1" t="s">
        <v>60</v>
      </c>
      <c r="J25" s="1">
        <v>2</v>
      </c>
      <c r="K25" s="1" t="s">
        <v>60</v>
      </c>
      <c r="L25" s="1" t="s">
        <v>60</v>
      </c>
    </row>
    <row r="26" spans="1:12" s="5" customFormat="1" ht="15" thickBot="1" x14ac:dyDescent="0.25">
      <c r="A26" s="32" t="s">
        <v>4</v>
      </c>
      <c r="B26" s="32"/>
      <c r="C26" s="32"/>
      <c r="D26" s="9"/>
      <c r="E26" s="9"/>
      <c r="F26" s="6"/>
      <c r="G26" s="6"/>
    </row>
    <row r="27" spans="1:12" ht="15" thickTop="1" x14ac:dyDescent="0.2">
      <c r="A27" s="28" t="s">
        <v>17</v>
      </c>
      <c r="B27" s="33" t="s">
        <v>19</v>
      </c>
      <c r="C27" s="22" t="s">
        <v>11</v>
      </c>
      <c r="D27" s="16">
        <v>0.28715244401246298</v>
      </c>
      <c r="E27" s="16">
        <v>0.32168344408273603</v>
      </c>
      <c r="F27" s="16">
        <v>2.0486975759849799</v>
      </c>
      <c r="G27" s="16">
        <v>0.450832910999999</v>
      </c>
      <c r="H27" s="16">
        <v>0.23301382999989001</v>
      </c>
      <c r="I27" s="25">
        <v>0.28703482499986399</v>
      </c>
      <c r="J27" s="16">
        <v>0.31610422115772902</v>
      </c>
      <c r="K27" s="16">
        <v>0.34370780084282099</v>
      </c>
      <c r="L27" s="16">
        <v>0.41444922098889903</v>
      </c>
    </row>
    <row r="28" spans="1:12" x14ac:dyDescent="0.2">
      <c r="A28" s="29"/>
      <c r="B28" s="29"/>
      <c r="C28" s="21" t="s">
        <v>53</v>
      </c>
      <c r="D28" s="16">
        <v>0.38627594592981002</v>
      </c>
      <c r="E28" s="16">
        <v>0.429837140953168</v>
      </c>
      <c r="F28" s="16">
        <v>25.178262497007299</v>
      </c>
      <c r="G28" s="16">
        <v>3.03042561299999</v>
      </c>
      <c r="H28" s="16">
        <v>0.518444739999949</v>
      </c>
      <c r="I28" s="25">
        <v>0.37790340699939401</v>
      </c>
      <c r="J28" s="16">
        <v>0.57055419590324097</v>
      </c>
      <c r="K28" s="16">
        <v>0.55742032593116098</v>
      </c>
      <c r="L28" s="16">
        <v>0.60328622302040402</v>
      </c>
    </row>
    <row r="29" spans="1:12" s="11" customFormat="1" x14ac:dyDescent="0.2">
      <c r="A29" s="29"/>
      <c r="B29" s="30"/>
      <c r="C29" s="23" t="s">
        <v>54</v>
      </c>
      <c r="D29" s="17">
        <v>1.7493289359845201</v>
      </c>
      <c r="E29" s="17">
        <v>1.81356537993997</v>
      </c>
      <c r="F29" s="17">
        <v>2.1901975200162198</v>
      </c>
      <c r="G29" s="17">
        <v>1.31356062199999</v>
      </c>
      <c r="H29" s="17">
        <v>1.1407079950001799</v>
      </c>
      <c r="I29" s="24">
        <v>1.1853063249982301</v>
      </c>
      <c r="J29" s="17">
        <v>1.0127084976993499</v>
      </c>
      <c r="K29" s="17">
        <v>1.1028042258694699</v>
      </c>
      <c r="L29" s="17">
        <v>1.15350922569632</v>
      </c>
    </row>
    <row r="30" spans="1:12" x14ac:dyDescent="0.2">
      <c r="A30" s="29"/>
      <c r="B30" s="34" t="s">
        <v>20</v>
      </c>
      <c r="C30" s="21" t="s">
        <v>12</v>
      </c>
      <c r="D30" s="16">
        <v>21.473149617901001</v>
      </c>
      <c r="E30" s="16">
        <v>12.4680417219642</v>
      </c>
      <c r="F30" s="16">
        <v>19.721532533003401</v>
      </c>
      <c r="G30" s="16">
        <v>9.89622123699999</v>
      </c>
      <c r="H30" s="16">
        <v>10.034744810999801</v>
      </c>
      <c r="I30" s="25">
        <v>6.0965352039966003</v>
      </c>
      <c r="J30" s="16">
        <v>5.2080871178768504</v>
      </c>
      <c r="K30" s="16">
        <v>3.7212571860291002</v>
      </c>
      <c r="L30" s="16">
        <v>2.85766694881021</v>
      </c>
    </row>
    <row r="31" spans="1:12" x14ac:dyDescent="0.2">
      <c r="A31" s="29"/>
      <c r="B31" s="29"/>
      <c r="C31" s="21" t="s">
        <v>13</v>
      </c>
      <c r="D31" s="16">
        <v>9.1307565479073602</v>
      </c>
      <c r="E31" s="16">
        <v>5.0531151550821898</v>
      </c>
      <c r="F31" s="16">
        <v>10.7624927630531</v>
      </c>
      <c r="G31" s="16">
        <v>9.8500192159999997</v>
      </c>
      <c r="H31" s="16">
        <v>9.8556633959999491</v>
      </c>
      <c r="I31" s="25">
        <v>5.4162267290012096</v>
      </c>
      <c r="J31" s="16">
        <v>8.6579211601056105</v>
      </c>
      <c r="K31" s="16">
        <v>4.8485534992068997</v>
      </c>
      <c r="L31" s="16">
        <v>1.40789865097031</v>
      </c>
    </row>
    <row r="32" spans="1:12" s="11" customFormat="1" x14ac:dyDescent="0.2">
      <c r="A32" s="29"/>
      <c r="B32" s="30"/>
      <c r="C32" s="23" t="s">
        <v>14</v>
      </c>
      <c r="D32" s="17">
        <v>44.075891631888197</v>
      </c>
      <c r="E32" s="17">
        <v>33.519158737035397</v>
      </c>
      <c r="F32" s="17">
        <v>23.506159127980901</v>
      </c>
      <c r="G32" s="17">
        <v>17.403578619999902</v>
      </c>
      <c r="H32" s="17">
        <v>22.931974768999901</v>
      </c>
      <c r="I32" s="24">
        <v>17.0514523149977</v>
      </c>
      <c r="J32" s="17">
        <v>20.784936324227601</v>
      </c>
      <c r="K32" s="17">
        <v>14.202680978924</v>
      </c>
      <c r="L32" s="17">
        <v>12.7054263222962</v>
      </c>
    </row>
    <row r="33" spans="1:12" x14ac:dyDescent="0.2">
      <c r="A33" s="29"/>
      <c r="B33" s="34" t="s">
        <v>21</v>
      </c>
      <c r="C33" s="21" t="s">
        <v>15</v>
      </c>
      <c r="D33" s="16">
        <v>0.72870961297303405</v>
      </c>
      <c r="E33" s="16">
        <v>0.771500790026038</v>
      </c>
      <c r="F33" s="16">
        <v>0.78369250602554497</v>
      </c>
      <c r="G33" s="16">
        <v>0.51916927399999901</v>
      </c>
      <c r="H33" s="16">
        <v>0.58345454599998403</v>
      </c>
      <c r="I33" s="25">
        <v>0.57360844099821395</v>
      </c>
      <c r="J33" s="16">
        <v>0.59730354510247696</v>
      </c>
      <c r="K33" s="16">
        <v>0.59650165587663595</v>
      </c>
      <c r="L33" s="16">
        <v>0.61815207917243198</v>
      </c>
    </row>
    <row r="34" spans="1:12" x14ac:dyDescent="0.2">
      <c r="A34" s="29"/>
      <c r="B34" s="29"/>
      <c r="C34" s="21" t="s">
        <v>55</v>
      </c>
      <c r="D34" s="16">
        <v>1.28428710158914E-2</v>
      </c>
      <c r="E34" s="16">
        <v>3.9459390100091696E-3</v>
      </c>
      <c r="F34" s="16">
        <v>5.6897229980677297E-2</v>
      </c>
      <c r="G34" s="16">
        <v>1.55470350000044E-2</v>
      </c>
      <c r="H34" s="16">
        <v>9.2414979999375594E-3</v>
      </c>
      <c r="I34" s="25">
        <v>3.63483899855054E-3</v>
      </c>
      <c r="J34" s="16">
        <v>1.15347979590296E-2</v>
      </c>
      <c r="K34" s="16">
        <v>9.9485958926379594E-3</v>
      </c>
      <c r="L34" s="16">
        <v>1.1178801767528E-2</v>
      </c>
    </row>
    <row r="35" spans="1:12" s="11" customFormat="1" x14ac:dyDescent="0.2">
      <c r="A35" s="29"/>
      <c r="B35" s="30"/>
      <c r="C35" s="23" t="s">
        <v>56</v>
      </c>
      <c r="D35" s="17">
        <v>4.5695638048928204</v>
      </c>
      <c r="E35" s="17">
        <v>4.7829728780779899</v>
      </c>
      <c r="F35" s="17">
        <v>7.9536300579784402</v>
      </c>
      <c r="G35" s="17">
        <v>3.9763282189999898</v>
      </c>
      <c r="H35" s="24">
        <v>3.1686970600001101</v>
      </c>
      <c r="I35" s="24">
        <v>3.49533219899967</v>
      </c>
      <c r="J35" s="24">
        <v>4.6407184293493602</v>
      </c>
      <c r="K35" s="24">
        <v>5.3018749370239604</v>
      </c>
      <c r="L35" s="24">
        <v>5.25130391772836</v>
      </c>
    </row>
    <row r="36" spans="1:12" x14ac:dyDescent="0.2">
      <c r="A36" s="29"/>
      <c r="B36" s="29" t="s">
        <v>16</v>
      </c>
      <c r="C36" s="21" t="s">
        <v>16</v>
      </c>
      <c r="D36" s="16">
        <v>82.896310266107307</v>
      </c>
      <c r="E36" s="16">
        <v>65.328087496804002</v>
      </c>
      <c r="F36" s="16">
        <v>93.196820167009705</v>
      </c>
      <c r="G36" s="16">
        <v>46.785876754</v>
      </c>
      <c r="H36" s="25">
        <v>48.861804079999899</v>
      </c>
      <c r="I36" s="25">
        <v>39.421869198002199</v>
      </c>
      <c r="J36" s="25">
        <v>42.3111072923056</v>
      </c>
      <c r="K36" s="25">
        <v>35.057994494214597</v>
      </c>
      <c r="L36" s="25">
        <v>30.5611869953572</v>
      </c>
    </row>
    <row r="37" spans="1:12" s="11" customFormat="1" x14ac:dyDescent="0.2">
      <c r="A37" s="30"/>
      <c r="B37" s="30"/>
      <c r="C37" s="23" t="s">
        <v>57</v>
      </c>
      <c r="D37" s="17">
        <v>101</v>
      </c>
      <c r="E37" s="17">
        <v>89</v>
      </c>
      <c r="F37" s="17">
        <v>156</v>
      </c>
      <c r="G37" s="17">
        <v>80</v>
      </c>
      <c r="H37" s="24">
        <v>69</v>
      </c>
      <c r="I37" s="24">
        <v>62</v>
      </c>
      <c r="J37" s="24">
        <v>66</v>
      </c>
      <c r="K37" s="24">
        <v>65</v>
      </c>
      <c r="L37" s="24">
        <v>77</v>
      </c>
    </row>
    <row r="38" spans="1:12" x14ac:dyDescent="0.2">
      <c r="A38" s="26" t="s">
        <v>18</v>
      </c>
      <c r="B38" s="34" t="s">
        <v>19</v>
      </c>
      <c r="C38" s="21" t="s">
        <v>11</v>
      </c>
      <c r="D38" s="16">
        <v>0.27939464314840701</v>
      </c>
      <c r="E38" s="16">
        <v>0.30758150294423098</v>
      </c>
      <c r="F38" s="16">
        <v>2.4821481420076399</v>
      </c>
      <c r="G38" s="16">
        <v>0.47605805300000198</v>
      </c>
      <c r="H38" s="25">
        <v>0.24432433499987299</v>
      </c>
      <c r="I38" s="25">
        <v>0.29688197100040198</v>
      </c>
      <c r="J38" s="25">
        <v>0.33686538273468603</v>
      </c>
      <c r="K38" s="25">
        <v>0.383597031235694</v>
      </c>
      <c r="L38" s="25">
        <v>0.42245814623311101</v>
      </c>
    </row>
    <row r="39" spans="1:12" x14ac:dyDescent="0.2">
      <c r="A39" s="29"/>
      <c r="B39" s="29"/>
      <c r="C39" s="21" t="s">
        <v>58</v>
      </c>
      <c r="D39" s="16">
        <v>0.40067043597809898</v>
      </c>
      <c r="E39" s="16">
        <v>0.40792634687386398</v>
      </c>
      <c r="F39" s="16">
        <v>21.510927819996098</v>
      </c>
      <c r="G39" s="16">
        <v>3.1271600109999702</v>
      </c>
      <c r="H39" s="25">
        <v>0.334881112999937</v>
      </c>
      <c r="I39" s="25">
        <v>0.37156754899842698</v>
      </c>
      <c r="J39" s="25">
        <v>0.42489168141037198</v>
      </c>
      <c r="K39" s="25">
        <v>0.48321471875533401</v>
      </c>
      <c r="L39" s="25">
        <v>0.62148948712274399</v>
      </c>
    </row>
    <row r="40" spans="1:12" s="11" customFormat="1" x14ac:dyDescent="0.2">
      <c r="A40" s="29"/>
      <c r="B40" s="30"/>
      <c r="C40" s="23" t="s">
        <v>54</v>
      </c>
      <c r="D40" s="17">
        <v>6.1337697948329097</v>
      </c>
      <c r="E40" s="17">
        <v>5.8587893838994196</v>
      </c>
      <c r="F40" s="17">
        <v>7.7748009330243804</v>
      </c>
      <c r="G40" s="17">
        <v>4.3478563990000199</v>
      </c>
      <c r="H40" s="24">
        <v>4.1336264210001401</v>
      </c>
      <c r="I40" s="24">
        <v>4.1713308499965898</v>
      </c>
      <c r="J40" s="24">
        <v>3.5394482137635301</v>
      </c>
      <c r="K40" s="24">
        <v>3.5658524758182399</v>
      </c>
      <c r="L40" s="24">
        <v>4.3536638887599102</v>
      </c>
    </row>
    <row r="41" spans="1:12" x14ac:dyDescent="0.2">
      <c r="A41" s="29"/>
      <c r="B41" s="34" t="s">
        <v>20</v>
      </c>
      <c r="C41" s="21" t="s">
        <v>12</v>
      </c>
      <c r="D41" s="16">
        <v>76.358046629000398</v>
      </c>
      <c r="E41" s="16">
        <v>45.899578189942901</v>
      </c>
      <c r="F41" s="16">
        <v>61.7896196870133</v>
      </c>
      <c r="G41" s="16">
        <v>34.408377338000001</v>
      </c>
      <c r="H41" s="25">
        <v>37.088173383000097</v>
      </c>
      <c r="I41" s="25">
        <v>23.011846582998199</v>
      </c>
      <c r="J41" s="25">
        <v>16.821868348401001</v>
      </c>
      <c r="K41" s="25">
        <v>11.419175399001601</v>
      </c>
      <c r="L41" s="25">
        <v>9.6473821126855892</v>
      </c>
    </row>
    <row r="42" spans="1:12" x14ac:dyDescent="0.2">
      <c r="A42" s="29"/>
      <c r="B42" s="29"/>
      <c r="C42" s="21" t="s">
        <v>13</v>
      </c>
      <c r="D42" s="16">
        <v>37.570265477057497</v>
      </c>
      <c r="E42" s="16" t="s">
        <v>62</v>
      </c>
      <c r="F42" s="16">
        <v>40.060987550008498</v>
      </c>
      <c r="G42" s="16">
        <v>39.544781770999897</v>
      </c>
      <c r="H42" s="25">
        <v>40.0024498350001</v>
      </c>
      <c r="I42" s="25">
        <v>22.180271346998701</v>
      </c>
      <c r="J42" s="25">
        <v>35.343566601164603</v>
      </c>
      <c r="K42" s="25">
        <v>19.576352299191001</v>
      </c>
      <c r="L42" s="25">
        <v>5.67859655432403</v>
      </c>
    </row>
    <row r="43" spans="1:12" s="11" customFormat="1" x14ac:dyDescent="0.2">
      <c r="A43" s="29"/>
      <c r="B43" s="30"/>
      <c r="C43" s="23" t="s">
        <v>14</v>
      </c>
      <c r="D43" s="17">
        <v>92.053681011078794</v>
      </c>
      <c r="E43" s="17" t="s">
        <v>63</v>
      </c>
      <c r="F43" s="17">
        <v>53.267810357035998</v>
      </c>
      <c r="G43" s="17">
        <v>42.874533514999897</v>
      </c>
      <c r="H43" s="24">
        <v>49.044152588000003</v>
      </c>
      <c r="I43" s="24">
        <v>32.507135545001802</v>
      </c>
      <c r="J43" s="24">
        <v>45.686132457572903</v>
      </c>
      <c r="K43" s="24">
        <v>28.545511359814501</v>
      </c>
      <c r="L43" s="24">
        <v>18.8030438027344</v>
      </c>
    </row>
    <row r="44" spans="1:12" x14ac:dyDescent="0.2">
      <c r="A44" s="29"/>
      <c r="B44" s="34" t="s">
        <v>21</v>
      </c>
      <c r="C44" s="21" t="s">
        <v>15</v>
      </c>
      <c r="D44" s="16">
        <v>2.9507247160654502</v>
      </c>
      <c r="E44" s="16" t="s">
        <v>63</v>
      </c>
      <c r="F44" s="16">
        <v>3.1344263299833899</v>
      </c>
      <c r="G44" s="16">
        <v>2.1782111339999801</v>
      </c>
      <c r="H44" s="25">
        <v>2.3789881560001001</v>
      </c>
      <c r="I44" s="25">
        <v>2.4279839760019901</v>
      </c>
      <c r="J44" s="25">
        <v>2.46377060189843</v>
      </c>
      <c r="K44" s="25">
        <v>2.4209923311136601</v>
      </c>
      <c r="L44" s="25">
        <v>2.4424958080053298</v>
      </c>
    </row>
    <row r="45" spans="1:12" x14ac:dyDescent="0.2">
      <c r="A45" s="29"/>
      <c r="B45" s="29"/>
      <c r="C45" s="21" t="s">
        <v>55</v>
      </c>
      <c r="D45" s="16">
        <v>4.6331230551004401E-3</v>
      </c>
      <c r="E45" s="16" t="s">
        <v>63</v>
      </c>
      <c r="F45" s="16">
        <v>0.15347997099161101</v>
      </c>
      <c r="G45" s="16">
        <v>1.63075030000072E-2</v>
      </c>
      <c r="H45" s="25">
        <v>1.11080839999431E-2</v>
      </c>
      <c r="I45" s="25">
        <v>6.13585699829855E-3</v>
      </c>
      <c r="J45" s="25">
        <v>1.13851749338209E-2</v>
      </c>
      <c r="K45" s="25">
        <v>9.9035240709781595E-3</v>
      </c>
      <c r="L45" s="25">
        <v>9.3563059344887699E-3</v>
      </c>
    </row>
    <row r="46" spans="1:12" s="11" customFormat="1" x14ac:dyDescent="0.2">
      <c r="A46" s="29"/>
      <c r="B46" s="30"/>
      <c r="C46" s="23" t="s">
        <v>59</v>
      </c>
      <c r="D46" s="17">
        <v>4.6424048559274498</v>
      </c>
      <c r="E46" s="17" t="s">
        <v>63</v>
      </c>
      <c r="F46" s="17">
        <v>13.794507298967799</v>
      </c>
      <c r="G46" s="17">
        <v>4.1041715599999904</v>
      </c>
      <c r="H46" s="24">
        <v>3.2355862370000001</v>
      </c>
      <c r="I46" s="24">
        <v>3.6634426579985302</v>
      </c>
      <c r="J46" s="24">
        <v>4.7378300689160797</v>
      </c>
      <c r="K46" s="24">
        <v>5.4293623859994096</v>
      </c>
      <c r="L46" s="24">
        <v>5.5817652582190904</v>
      </c>
    </row>
    <row r="47" spans="1:12" x14ac:dyDescent="0.2">
      <c r="A47" s="29"/>
      <c r="B47" s="29" t="s">
        <v>16</v>
      </c>
      <c r="C47" s="21" t="s">
        <v>16</v>
      </c>
      <c r="D47" s="16">
        <v>222.24066521413599</v>
      </c>
      <c r="E47" s="16" t="s">
        <v>63</v>
      </c>
      <c r="F47" s="16">
        <v>206.98031143296899</v>
      </c>
      <c r="G47" s="16">
        <v>131.83623173699999</v>
      </c>
      <c r="H47" s="25">
        <v>137.993835856</v>
      </c>
      <c r="I47" s="25">
        <v>107.727011717997</v>
      </c>
      <c r="J47" s="25">
        <v>111.076795918866</v>
      </c>
      <c r="K47" s="25">
        <v>91.384103524964303</v>
      </c>
      <c r="L47" s="25">
        <v>66.364415423013199</v>
      </c>
    </row>
    <row r="48" spans="1:12" x14ac:dyDescent="0.2">
      <c r="A48" s="29"/>
      <c r="B48" s="29"/>
      <c r="C48" s="21" t="s">
        <v>57</v>
      </c>
      <c r="D48" s="16">
        <v>242</v>
      </c>
      <c r="E48" s="16" t="s">
        <v>63</v>
      </c>
      <c r="F48" s="16">
        <v>286</v>
      </c>
      <c r="G48" s="16">
        <v>162</v>
      </c>
      <c r="H48" s="25">
        <v>157</v>
      </c>
      <c r="I48" s="25">
        <v>131</v>
      </c>
      <c r="J48" s="25">
        <v>136</v>
      </c>
      <c r="K48" s="25">
        <v>123</v>
      </c>
      <c r="L48" s="25">
        <v>115</v>
      </c>
    </row>
  </sheetData>
  <mergeCells count="18">
    <mergeCell ref="A38:A48"/>
    <mergeCell ref="B27:B29"/>
    <mergeCell ref="B30:B32"/>
    <mergeCell ref="B33:B35"/>
    <mergeCell ref="B36:B37"/>
    <mergeCell ref="B38:B40"/>
    <mergeCell ref="B41:B43"/>
    <mergeCell ref="B44:B46"/>
    <mergeCell ref="B47:B48"/>
    <mergeCell ref="A22:B25"/>
    <mergeCell ref="A27:A37"/>
    <mergeCell ref="A1:C1"/>
    <mergeCell ref="A2:C2"/>
    <mergeCell ref="A3:C3"/>
    <mergeCell ref="A26:C26"/>
    <mergeCell ref="A4:B7"/>
    <mergeCell ref="A8:B14"/>
    <mergeCell ref="A15:B21"/>
  </mergeCells>
  <phoneticPr fontId="1"/>
  <conditionalFormatting sqref="A9:XFD9 A16:XFD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{14196676-A144-43A1-A7A4-3EF4D4E423B3}</x14:id>
        </ext>
      </extLst>
    </cfRule>
  </conditionalFormatting>
  <conditionalFormatting sqref="A17:XFD17 A10:XFD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{3F5EDDE1-556F-4C3A-B908-6C709C91A635}</x14:id>
        </ext>
      </extLst>
    </cfRule>
  </conditionalFormatting>
  <conditionalFormatting sqref="A23:XFD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{185488EA-EF2F-484D-9735-35F3064F04C6}</x14:id>
        </ext>
      </extLst>
    </cfRule>
  </conditionalFormatting>
  <conditionalFormatting sqref="A27:XFD27 A38:XFD3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{0BDA52D8-3E7E-4C70-91EE-300C4C30AA93}</x14:id>
        </ext>
      </extLst>
    </cfRule>
  </conditionalFormatting>
  <conditionalFormatting sqref="A30:XFD30 A41:XFD41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{58549C8B-D210-40C4-8ADE-22C497017E3B}</x14:id>
        </ext>
      </extLst>
    </cfRule>
  </conditionalFormatting>
  <conditionalFormatting sqref="A35:XFD35 A46:XFD4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{C4B37561-E21A-469F-9264-28F346513E2D}</x14:id>
        </ext>
      </extLst>
    </cfRule>
  </conditionalFormatting>
  <conditionalFormatting sqref="A36:XFD36 A47:XFD4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{A795A94A-D359-4C20-8F8C-4E6E44939444}</x14:id>
        </ext>
      </extLst>
    </cfRule>
  </conditionalFormatting>
  <conditionalFormatting sqref="A36:XFD37 A47:XFD48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{FD3B9AE4-86A2-4DD2-9FB2-590D37A1F1F3}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{BEB72EB6-2FCA-4E6B-A21F-E30D0356FAF7}</x14:id>
        </ext>
      </extLst>
    </cfRule>
  </conditionalFormatting>
  <conditionalFormatting sqref="A37:XFD37 A48:XFD48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{ED0BF0BD-0D7F-4B28-A5CF-75980B2566B9}</x14:id>
        </ext>
      </extLst>
    </cfRule>
  </conditionalFormatting>
  <conditionalFormatting sqref="A39:XFD39 A28:XFD28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{9E678109-7150-49BE-B221-A3CFAA416250}</x14:id>
        </ext>
      </extLst>
    </cfRule>
  </conditionalFormatting>
  <conditionalFormatting sqref="A40:XFD40 A29:XFD29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{ED7249C0-7851-4FAB-A8B3-ECD1D8B07ED7}</x14:id>
        </ext>
      </extLst>
    </cfRule>
  </conditionalFormatting>
  <conditionalFormatting sqref="A41:XFD41 A30:XFD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{17182307-9233-4527-A092-39A2AC7598BF}</x14:id>
        </ext>
      </extLst>
    </cfRule>
  </conditionalFormatting>
  <conditionalFormatting sqref="A42:XFD42 A31:XFD3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{7C48002B-3911-4813-A50C-7ECF9C19EF64}</x14:id>
        </ext>
      </extLst>
    </cfRule>
  </conditionalFormatting>
  <conditionalFormatting sqref="A43:XFD43 A32:XFD3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{7FCA8C0A-0AB4-40CA-BFDA-384E8E98208C}</x14:id>
        </ext>
      </extLst>
    </cfRule>
  </conditionalFormatting>
  <conditionalFormatting sqref="A44:XFD44 A33:XFD3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{BE90834B-BCE9-4D8B-94C3-8DF5CA7B319C}</x14:id>
        </ext>
      </extLst>
    </cfRule>
  </conditionalFormatting>
  <conditionalFormatting sqref="A45:XFD45 A34:XFD3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{34C9D91D-6812-4B52-B085-D4926ED94F46}</x14:id>
        </ext>
      </extLst>
    </cfRule>
  </conditionalFormatting>
  <conditionalFormatting sqref="D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{BE08D743-5C31-4682-92FD-D0ED74A6E081}</x14:id>
        </ext>
      </extLst>
    </cfRule>
  </conditionalFormatting>
  <conditionalFormatting sqref="D1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{99553375-C4C7-4A45-B837-00F75118B134}</x14:id>
        </ext>
      </extLst>
    </cfRule>
  </conditionalFormatting>
  <conditionalFormatting sqref="D1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{7096564D-29E1-4746-9C3E-E960D69055F1}</x14:id>
        </ext>
      </extLst>
    </cfRule>
  </conditionalFormatting>
  <conditionalFormatting sqref="D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{1A1BFC80-804B-4A95-BF78-1A64F9AB28A3}</x14:id>
        </ext>
      </extLst>
    </cfRule>
  </conditionalFormatting>
  <conditionalFormatting sqref="F12:G12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{AA69FEEE-5CC1-B446-88AE-AA0DCEE32669}</x14:id>
        </ext>
      </extLst>
    </cfRule>
  </conditionalFormatting>
  <conditionalFormatting sqref="F13:G14">
    <cfRule type="dataBar" priority="83">
      <dataBar>
        <cfvo type="num" val="2"/>
        <cfvo type="max"/>
        <color rgb="FF638EC6"/>
      </dataBar>
      <extLst>
        <ext xmlns:x14="http://schemas.microsoft.com/office/spreadsheetml/2009/9/main" uri="{B025F937-C7B1-47D3-B67F-A62EFF666E3E}">
          <x14:id>{0E5A907C-C8BB-3D4F-A865-FB20618C07B8}</x14:id>
        </ext>
      </extLst>
    </cfRule>
  </conditionalFormatting>
  <conditionalFormatting sqref="F19:G19">
    <cfRule type="dataBar" priority="86">
      <dataBar>
        <cfvo type="num" val="7"/>
        <cfvo type="max"/>
        <color rgb="FF63C384"/>
      </dataBar>
      <extLst>
        <ext xmlns:x14="http://schemas.microsoft.com/office/spreadsheetml/2009/9/main" uri="{B025F937-C7B1-47D3-B67F-A62EFF666E3E}">
          <x14:id>{E2DEF3AB-15D6-E248-822C-F35EA5D25BC2}</x14:id>
        </ext>
      </extLst>
    </cfRule>
  </conditionalFormatting>
  <conditionalFormatting sqref="F20:G20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{59D6ED6D-82BE-F743-9091-3995C19F06F3}</x14:id>
        </ext>
      </extLst>
    </cfRule>
  </conditionalFormatting>
  <conditionalFormatting sqref="F21:G21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{EB06A7EE-42B8-C447-B49D-30DC6AADD363}</x14:id>
        </ext>
      </extLst>
    </cfRule>
  </conditionalFormatting>
  <conditionalFormatting sqref="F24:G2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{3C38937B-10AE-D641-91A1-2022AB2271C8}</x14:id>
        </ext>
      </extLst>
    </cfRule>
  </conditionalFormatting>
  <conditionalFormatting sqref="F25:G25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{28EB4E0F-7C16-0E43-B1EE-C17DE9320A66}</x14:id>
        </ext>
      </extLst>
    </cfRule>
  </conditionalFormatting>
  <conditionalFormatting sqref="F9:H9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{8C3D98AE-45B3-E349-AD08-7A2D2F0788DE}</x14:id>
        </ext>
      </extLst>
    </cfRule>
  </conditionalFormatting>
  <conditionalFormatting sqref="F10:H10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{A486E733-45FB-5745-BC12-5681A8C96E8B}</x14:id>
        </ext>
      </extLst>
    </cfRule>
  </conditionalFormatting>
  <conditionalFormatting sqref="F16:H16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{7FA6673F-F21D-7945-B26F-B398F1E4F700}</x14:id>
        </ext>
      </extLst>
    </cfRule>
  </conditionalFormatting>
  <conditionalFormatting sqref="F17:H17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{FDE0D191-AB43-2A4B-AAED-204602D73121}</x14:id>
        </ext>
      </extLst>
    </cfRule>
  </conditionalFormatting>
  <conditionalFormatting sqref="J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{25D22E7E-FE50-430C-BE55-2002B6040486}</x14:id>
        </ext>
      </extLst>
    </cfRule>
  </conditionalFormatting>
  <conditionalFormatting sqref="J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{7E50EB07-188B-47B3-99BF-ABD8255E3D2D}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{5536B3A9-DDE9-4327-987B-6ED6BC685C8A}</x14:id>
        </ext>
      </extLst>
    </cfRule>
  </conditionalFormatting>
  <conditionalFormatting sqref="J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{FD3552A3-57BE-4D60-BC80-B4724F46B4D8}</x14:id>
        </ext>
      </extLst>
    </cfRule>
  </conditionalFormatting>
  <conditionalFormatting sqref="J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{EF1AFFEC-FFA2-48E4-BAAF-28CAEA92E399}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{3F9D851B-CEA4-4226-A258-9FDCC56494E2}</x14:id>
        </ext>
      </extLst>
    </cfRule>
  </conditionalFormatting>
  <conditionalFormatting sqref="M9:XFD9 A9:D9 F9:H9 J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{55209318-E838-45D7-997A-AE33FDFF309F}</x14:id>
        </ext>
      </extLst>
    </cfRule>
  </conditionalFormatting>
  <conditionalFormatting sqref="M10:XFD10 A10:D10 J10 F10:H10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{FF35AB45-1B56-4C79-838D-8C6C45297D4C}</x14:id>
        </ext>
      </extLst>
    </cfRule>
  </conditionalFormatting>
  <conditionalFormatting sqref="M12:XFD12 A12:D12 F12:H12 J1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{5709ABDC-9BD0-48E9-A6AB-106C154A8CEB}</x14:id>
        </ext>
      </extLst>
    </cfRule>
  </conditionalFormatting>
  <conditionalFormatting sqref="M13:XFD14 A13:D14 F13:H14 J13:J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{9786495F-8BC4-419E-9CB8-5224A93AE4AE}</x14:id>
        </ext>
      </extLst>
    </cfRule>
  </conditionalFormatting>
  <conditionalFormatting sqref="M16:XFD16 A9:D9 A16:D16 F9:H9 F16:H16 J9 J16 M9:XFD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{8F84E390-EA54-4044-A0D1-BD858D211D1C}</x14:id>
        </ext>
      </extLst>
    </cfRule>
  </conditionalFormatting>
  <conditionalFormatting sqref="M17:XFD17 A10:D10 A17:D17 F17:H17 M10:XFD10 J10 J17 F10:H1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{2648E629-B128-40E0-9430-3910149B879A}</x14:id>
        </ext>
      </extLst>
    </cfRule>
  </conditionalFormatting>
  <conditionalFormatting sqref="M19:XFD19 A19:D19 F19:H19 J1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{9EC12AEF-9FE7-4A07-8127-10331FB9F457}</x14:id>
        </ext>
      </extLst>
    </cfRule>
  </conditionalFormatting>
  <conditionalFormatting sqref="M20:XFD20 A20:D20 F20:H20 J2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{F8E4DB01-292B-4098-852F-53E74F090B09}</x14:id>
        </ext>
      </extLst>
    </cfRule>
  </conditionalFormatting>
  <conditionalFormatting sqref="M21:XFD21 A21:D21 F21:H21 J21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{610D2D63-4D68-49B7-8423-BF90A16E1825}</x14:id>
        </ext>
      </extLst>
    </cfRule>
  </conditionalFormatting>
  <conditionalFormatting sqref="M24:XFD24 A24:D24 F24:H24 J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{4D97FA75-76F6-4FF5-894D-D8F085836ADA}</x14:id>
        </ext>
      </extLst>
    </cfRule>
  </conditionalFormatting>
  <conditionalFormatting sqref="M25:XFD25 A25:D25 F25:H25 J2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{D52F8789-0951-42AE-89B8-918393A72370}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196676-A144-43A1-A7A4-3EF4D4E423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A9:XFD9 A16:XFD16</xm:sqref>
        </x14:conditionalFormatting>
        <x14:conditionalFormatting xmlns:xm="http://schemas.microsoft.com/office/excel/2006/main">
          <x14:cfRule type="dataBar" id="{3F5EDDE1-556F-4C3A-B908-6C709C91A6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A17:XFD17 A10:XFD10</xm:sqref>
        </x14:conditionalFormatting>
        <x14:conditionalFormatting xmlns:xm="http://schemas.microsoft.com/office/excel/2006/main">
          <x14:cfRule type="dataBar" id="{185488EA-EF2F-484D-9735-35F3064F04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A23:XFD23</xm:sqref>
        </x14:conditionalFormatting>
        <x14:conditionalFormatting xmlns:xm="http://schemas.microsoft.com/office/excel/2006/main">
          <x14:cfRule type="dataBar" id="{0BDA52D8-3E7E-4C70-91EE-300C4C30A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A27:XFD27 A38:XFD38</xm:sqref>
        </x14:conditionalFormatting>
        <x14:conditionalFormatting xmlns:xm="http://schemas.microsoft.com/office/excel/2006/main">
          <x14:cfRule type="dataBar" id="{58549C8B-D210-40C4-8ADE-22C497017E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A30:XFD30 A41:XFD41</xm:sqref>
        </x14:conditionalFormatting>
        <x14:conditionalFormatting xmlns:xm="http://schemas.microsoft.com/office/excel/2006/main">
          <x14:cfRule type="dataBar" id="{C4B37561-E21A-469F-9264-28F346513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A35:XFD35 A46:XFD46</xm:sqref>
        </x14:conditionalFormatting>
        <x14:conditionalFormatting xmlns:xm="http://schemas.microsoft.com/office/excel/2006/main">
          <x14:cfRule type="dataBar" id="{A795A94A-D359-4C20-8F8C-4E6E449394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A36:XFD36 A47:XFD47</xm:sqref>
        </x14:conditionalFormatting>
        <x14:conditionalFormatting xmlns:xm="http://schemas.microsoft.com/office/excel/2006/main">
          <x14:cfRule type="dataBar" id="{FD3B9AE4-86A2-4DD2-9FB2-590D37A1F1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14:cfRule type="dataBar" id="{BEB72EB6-2FCA-4E6B-A21F-E30D0356F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A36:XFD37 A47:XFD48</xm:sqref>
        </x14:conditionalFormatting>
        <x14:conditionalFormatting xmlns:xm="http://schemas.microsoft.com/office/excel/2006/main">
          <x14:cfRule type="dataBar" id="{ED0BF0BD-0D7F-4B28-A5CF-75980B2566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A37:XFD37 A48:XFD48</xm:sqref>
        </x14:conditionalFormatting>
        <x14:conditionalFormatting xmlns:xm="http://schemas.microsoft.com/office/excel/2006/main">
          <x14:cfRule type="dataBar" id="{9E678109-7150-49BE-B221-A3CFAA4162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A39:XFD39 A28:XFD28</xm:sqref>
        </x14:conditionalFormatting>
        <x14:conditionalFormatting xmlns:xm="http://schemas.microsoft.com/office/excel/2006/main">
          <x14:cfRule type="dataBar" id="{ED7249C0-7851-4FAB-A8B3-ECD1D8B07E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A40:XFD40 A29:XFD29</xm:sqref>
        </x14:conditionalFormatting>
        <x14:conditionalFormatting xmlns:xm="http://schemas.microsoft.com/office/excel/2006/main">
          <x14:cfRule type="dataBar" id="{17182307-9233-4527-A092-39A2AC759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A41:XFD41 A30:XFD30</xm:sqref>
        </x14:conditionalFormatting>
        <x14:conditionalFormatting xmlns:xm="http://schemas.microsoft.com/office/excel/2006/main">
          <x14:cfRule type="dataBar" id="{7C48002B-3911-4813-A50C-7ECF9C19EF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A42:XFD42 A31:XFD31</xm:sqref>
        </x14:conditionalFormatting>
        <x14:conditionalFormatting xmlns:xm="http://schemas.microsoft.com/office/excel/2006/main">
          <x14:cfRule type="dataBar" id="{7FCA8C0A-0AB4-40CA-BFDA-384E8E9820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A43:XFD43 A32:XFD32</xm:sqref>
        </x14:conditionalFormatting>
        <x14:conditionalFormatting xmlns:xm="http://schemas.microsoft.com/office/excel/2006/main">
          <x14:cfRule type="dataBar" id="{BE90834B-BCE9-4D8B-94C3-8DF5CA7B3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A44:XFD44 A33:XFD33</xm:sqref>
        </x14:conditionalFormatting>
        <x14:conditionalFormatting xmlns:xm="http://schemas.microsoft.com/office/excel/2006/main">
          <x14:cfRule type="dataBar" id="{34C9D91D-6812-4B52-B085-D4926ED94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A45:XFD45 A34:XFD34</xm:sqref>
        </x14:conditionalFormatting>
        <x14:conditionalFormatting xmlns:xm="http://schemas.microsoft.com/office/excel/2006/main">
          <x14:cfRule type="dataBar" id="{BE08D743-5C31-4682-92FD-D0ED74A6E0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99553375-C4C7-4A45-B837-00F75118B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7096564D-29E1-4746-9C3E-E960D6905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1A1BFC80-804B-4A95-BF78-1A64F9AB28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</xm:sqref>
        </x14:conditionalFormatting>
        <x14:conditionalFormatting xmlns:xm="http://schemas.microsoft.com/office/excel/2006/main">
          <x14:cfRule type="dataBar" id="{AA69FEEE-5CC1-B446-88AE-AA0DCEE32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F12:G12</xm:sqref>
        </x14:conditionalFormatting>
        <x14:conditionalFormatting xmlns:xm="http://schemas.microsoft.com/office/excel/2006/main">
          <x14:cfRule type="dataBar" id="{0E5A907C-C8BB-3D4F-A865-FB20618C07B8}">
            <x14:dataBar minLength="0" maxLength="100" border="1" negativeBarBorderColorSameAsPositive="0">
              <x14:cfvo type="num">
                <xm:f>2</xm:f>
              </x14:cfvo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F13:G14</xm:sqref>
        </x14:conditionalFormatting>
        <x14:conditionalFormatting xmlns:xm="http://schemas.microsoft.com/office/excel/2006/main">
          <x14:cfRule type="dataBar" id="{E2DEF3AB-15D6-E248-822C-F35EA5D25BC2}">
            <x14:dataBar minLength="0" maxLength="100" border="1" negativeBarBorderColorSameAsPositive="0">
              <x14:cfvo type="num">
                <xm:f>7</xm:f>
              </x14:cfvo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F19:G19</xm:sqref>
        </x14:conditionalFormatting>
        <x14:conditionalFormatting xmlns:xm="http://schemas.microsoft.com/office/excel/2006/main">
          <x14:cfRule type="dataBar" id="{59D6ED6D-82BE-F743-9091-3995C19F06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F20:G20</xm:sqref>
        </x14:conditionalFormatting>
        <x14:conditionalFormatting xmlns:xm="http://schemas.microsoft.com/office/excel/2006/main">
          <x14:cfRule type="dataBar" id="{EB06A7EE-42B8-C447-B49D-30DC6AADD3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F21:G21</xm:sqref>
        </x14:conditionalFormatting>
        <x14:conditionalFormatting xmlns:xm="http://schemas.microsoft.com/office/excel/2006/main">
          <x14:cfRule type="dataBar" id="{3C38937B-10AE-D641-91A1-2022AB227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F24:G24</xm:sqref>
        </x14:conditionalFormatting>
        <x14:conditionalFormatting xmlns:xm="http://schemas.microsoft.com/office/excel/2006/main">
          <x14:cfRule type="dataBar" id="{28EB4E0F-7C16-0E43-B1EE-C17DE9320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F25:G25</xm:sqref>
        </x14:conditionalFormatting>
        <x14:conditionalFormatting xmlns:xm="http://schemas.microsoft.com/office/excel/2006/main">
          <x14:cfRule type="dataBar" id="{8C3D98AE-45B3-E349-AD08-7A2D2F0788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F9:H9</xm:sqref>
        </x14:conditionalFormatting>
        <x14:conditionalFormatting xmlns:xm="http://schemas.microsoft.com/office/excel/2006/main">
          <x14:cfRule type="dataBar" id="{A486E733-45FB-5745-BC12-5681A8C96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F10:H10</xm:sqref>
        </x14:conditionalFormatting>
        <x14:conditionalFormatting xmlns:xm="http://schemas.microsoft.com/office/excel/2006/main">
          <x14:cfRule type="dataBar" id="{7FA6673F-F21D-7945-B26F-B398F1E4F7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F16:H16</xm:sqref>
        </x14:conditionalFormatting>
        <x14:conditionalFormatting xmlns:xm="http://schemas.microsoft.com/office/excel/2006/main">
          <x14:cfRule type="dataBar" id="{FDE0D191-AB43-2A4B-AAED-204602D731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F17:H17</xm:sqref>
        </x14:conditionalFormatting>
        <x14:conditionalFormatting xmlns:xm="http://schemas.microsoft.com/office/excel/2006/main">
          <x14:cfRule type="dataBar" id="{25D22E7E-FE50-430C-BE55-2002B60404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7E50EB07-188B-47B3-99BF-ABD8255E3D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536B3A9-DDE9-4327-987B-6ED6BC685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D3552A3-57BE-4D60-BC80-B4724F46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EF1AFFEC-FFA2-48E4-BAAF-28CAEA92E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F9D851B-CEA4-4226-A258-9FDCC56494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55209318-E838-45D7-997A-AE33FDFF3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M9:XFD9 A9:D9 F9:H9 J9</xm:sqref>
        </x14:conditionalFormatting>
        <x14:conditionalFormatting xmlns:xm="http://schemas.microsoft.com/office/excel/2006/main">
          <x14:cfRule type="dataBar" id="{FF35AB45-1B56-4C79-838D-8C6C45297D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M10:XFD10 A10:D10 J10 F10:H10</xm:sqref>
        </x14:conditionalFormatting>
        <x14:conditionalFormatting xmlns:xm="http://schemas.microsoft.com/office/excel/2006/main">
          <x14:cfRule type="dataBar" id="{5709ABDC-9BD0-48E9-A6AB-106C154A8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M12:XFD12 A12:D12 F12:H12 J12</xm:sqref>
        </x14:conditionalFormatting>
        <x14:conditionalFormatting xmlns:xm="http://schemas.microsoft.com/office/excel/2006/main">
          <x14:cfRule type="dataBar" id="{9786495F-8BC4-419E-9CB8-5224A93AE4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M13:XFD14 A13:D14 F13:H14 J13:J14</xm:sqref>
        </x14:conditionalFormatting>
        <x14:conditionalFormatting xmlns:xm="http://schemas.microsoft.com/office/excel/2006/main">
          <x14:cfRule type="dataBar" id="{8F84E390-EA54-4044-A0D1-BD858D211D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M16:XFD16 A9:D9 A16:D16 F9:H9 F16:H16 J9 J16 M9:XFD9</xm:sqref>
        </x14:conditionalFormatting>
        <x14:conditionalFormatting xmlns:xm="http://schemas.microsoft.com/office/excel/2006/main">
          <x14:cfRule type="dataBar" id="{2648E629-B128-40E0-9430-3910149B8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M17:XFD17 A10:D10 A17:D17 F17:H17 M10:XFD10 J10 J17 F10:H10</xm:sqref>
        </x14:conditionalFormatting>
        <x14:conditionalFormatting xmlns:xm="http://schemas.microsoft.com/office/excel/2006/main">
          <x14:cfRule type="dataBar" id="{9EC12AEF-9FE7-4A07-8127-10331FB9F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M19:XFD19 A19:D19 F19:H19 J19</xm:sqref>
        </x14:conditionalFormatting>
        <x14:conditionalFormatting xmlns:xm="http://schemas.microsoft.com/office/excel/2006/main">
          <x14:cfRule type="dataBar" id="{F8E4DB01-292B-4098-852F-53E74F090B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M20:XFD20 A20:D20 F20:H20 J20</xm:sqref>
        </x14:conditionalFormatting>
        <x14:conditionalFormatting xmlns:xm="http://schemas.microsoft.com/office/excel/2006/main">
          <x14:cfRule type="dataBar" id="{610D2D63-4D68-49B7-8423-BF90A16E18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M21:XFD21 A21:D21 F21:H21 J21</xm:sqref>
        </x14:conditionalFormatting>
        <x14:conditionalFormatting xmlns:xm="http://schemas.microsoft.com/office/excel/2006/main">
          <x14:cfRule type="dataBar" id="{4D97FA75-76F6-4FF5-894D-D8F085836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M24:XFD24 A24:D24 F24:H24 J24</xm:sqref>
        </x14:conditionalFormatting>
        <x14:conditionalFormatting xmlns:xm="http://schemas.microsoft.com/office/excel/2006/main">
          <x14:cfRule type="dataBar" id="{D52F8789-0951-42AE-89B8-918393A72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M25:XFD25 A25:D25 F25:H25 J25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NARA INSTITUTE of SCIENSE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Otake Yoshito</dc:creator>
  <cp:lastModifiedBy>Yi Gu</cp:lastModifiedBy>
  <dcterms:created xsi:type="dcterms:W3CDTF">2025-10-22T20:34:23Z</dcterms:created>
  <dcterms:modified xsi:type="dcterms:W3CDTF">2025-12-16T15:54:58Z</dcterms:modified>
</cp:coreProperties>
</file>